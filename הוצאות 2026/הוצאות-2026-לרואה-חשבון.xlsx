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כל ההוצאות" sheetId="1" state="visible" r:id="rId3"/>
    <sheet name="סיכום לפי קטגוריה" sheetId="2" state="visible" r:id="rId4"/>
    <sheet name="סיכום לפי ספק" sheetId="3" state="visible" r:id="rId5"/>
    <sheet name="דוחות הכנסות" sheetId="4" state="visible" r:id="rId6"/>
    <sheet name="הוראות שימוש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<sst xmlns="http://schemas.openxmlformats.org/spreadsheetml/2006/main" count="663" uniqueCount="219">
  <si>
    <t xml:space="preserve">תאריך</t>
  </si>
  <si>
    <t xml:space="preserve">ספק</t>
  </si>
  <si>
    <t xml:space="preserve">קטגוריה</t>
  </si>
  <si>
    <t xml:space="preserve">תיאור</t>
  </si>
  <si>
    <t xml:space="preserve">סכום</t>
  </si>
  <si>
    <t xml:space="preserve">מטבע</t>
  </si>
  <si>
    <t xml:space="preserve">סכום בש"ח (משוער)</t>
  </si>
  <si>
    <t xml:space="preserve">אמצעי תשלום</t>
  </si>
  <si>
    <t xml:space="preserve">מצורף?</t>
  </si>
  <si>
    <t xml:space="preserve">הערות</t>
  </si>
  <si>
    <t xml:space="preserve">קישור למייל</t>
  </si>
  <si>
    <t xml:space="preserve">2026-05-03</t>
  </si>
  <si>
    <t xml:space="preserve">Replit</t>
  </si>
  <si>
    <t xml:space="preserve">SaaS / כלי פיתוח</t>
  </si>
  <si>
    <t xml:space="preserve">Replit Core Usage - Receipt #1307-4121</t>
  </si>
  <si>
    <t xml:space="preserve">USD</t>
  </si>
  <si>
    <t xml:space="preserve">Visa-0592</t>
  </si>
  <si>
    <t xml:space="preserve">כן</t>
  </si>
  <si>
    <t xml:space="preserve">תשלום על שימוש</t>
  </si>
  <si>
    <t xml:space="preserve">Replit Pro - Receipt #2586-7207</t>
  </si>
  <si>
    <t xml:space="preserve">Welcome to Replit Pro - מנוי חודשי (לאמת סכום)</t>
  </si>
  <si>
    <t xml:space="preserve">2026-04-30</t>
  </si>
  <si>
    <t xml:space="preserve">Replit Core Usage - Receipt #1531-6539</t>
  </si>
  <si>
    <t xml:space="preserve">תשלום threshold</t>
  </si>
  <si>
    <t xml:space="preserve">2026-04-15</t>
  </si>
  <si>
    <t xml:space="preserve">Replit Core Usage - Receipt #2524-7734</t>
  </si>
  <si>
    <t xml:space="preserve">(בקובץ מצורף)</t>
  </si>
  <si>
    <t xml:space="preserve">סכום בקובץ מצורף</t>
  </si>
  <si>
    <t xml:space="preserve">Replit Core Usage - Receipt #1648-4015</t>
  </si>
  <si>
    <t xml:space="preserve">2026-04-13</t>
  </si>
  <si>
    <t xml:space="preserve">Replit Core Usage - Receipt #1621-3101</t>
  </si>
  <si>
    <t xml:space="preserve">2026-04-12</t>
  </si>
  <si>
    <t xml:space="preserve">Replit Core Usage - Receipt #1160-3129</t>
  </si>
  <si>
    <t xml:space="preserve">2026-04-10</t>
  </si>
  <si>
    <t xml:space="preserve">Replit Core Usage - Receipt #1268-6354</t>
  </si>
  <si>
    <t xml:space="preserve">2026-04-08</t>
  </si>
  <si>
    <t xml:space="preserve">Replit Core Usage - Receipt #1802-6747</t>
  </si>
  <si>
    <t xml:space="preserve">2026-04-06</t>
  </si>
  <si>
    <t xml:space="preserve">Replit Core Usage - Receipt #1918-2964</t>
  </si>
  <si>
    <t xml:space="preserve">2026-04-05</t>
  </si>
  <si>
    <t xml:space="preserve">Replit Core Usage - Receipt #1763-0921</t>
  </si>
  <si>
    <t xml:space="preserve">2026-04-03</t>
  </si>
  <si>
    <t xml:space="preserve">Replit Core Usage - Receipt #1392-4208</t>
  </si>
  <si>
    <t xml:space="preserve">2026-04-02</t>
  </si>
  <si>
    <t xml:space="preserve">Replit Core Usage - Receipt #1931-6976</t>
  </si>
  <si>
    <t xml:space="preserve">2026-04-01</t>
  </si>
  <si>
    <t xml:space="preserve">Replit Core Usage - Receipt #1098-4143</t>
  </si>
  <si>
    <t xml:space="preserve">2026-03-29</t>
  </si>
  <si>
    <t xml:space="preserve">Replit Core Usage - Receipt #1055-3014</t>
  </si>
  <si>
    <t xml:space="preserve">2026-03-28</t>
  </si>
  <si>
    <t xml:space="preserve">Replit Core Usage - Receipt #1461-3207</t>
  </si>
  <si>
    <t xml:space="preserve">Replit Core Usage - Receipt #1252-2453</t>
  </si>
  <si>
    <t xml:space="preserve">2026-03-26</t>
  </si>
  <si>
    <t xml:space="preserve">Replit Core Usage - Receipt #1878-7831</t>
  </si>
  <si>
    <t xml:space="preserve">Replit Core Usage - Receipt #1331-8535</t>
  </si>
  <si>
    <t xml:space="preserve">2026-03-25</t>
  </si>
  <si>
    <t xml:space="preserve">Replit Core Usage - Receipt #1390-2680</t>
  </si>
  <si>
    <t xml:space="preserve">2026-03-24</t>
  </si>
  <si>
    <t xml:space="preserve">Replit Core Usage - Receipt #1787-7604</t>
  </si>
  <si>
    <t xml:space="preserve">2026-03-23</t>
  </si>
  <si>
    <t xml:space="preserve">Replit Core Usage - Receipt #1443-0720</t>
  </si>
  <si>
    <t xml:space="preserve">2026-04-26</t>
  </si>
  <si>
    <t xml:space="preserve">Anthropic</t>
  </si>
  <si>
    <t xml:space="preserve">Anthropic API Credits - Receipt #2309-3046-9367</t>
  </si>
  <si>
    <t xml:space="preserve">Link</t>
  </si>
  <si>
    <t xml:space="preserve">טעינת קרדיטים ל-Claude API</t>
  </si>
  <si>
    <t xml:space="preserve">Anthropic API Credits - Receipt #2389-1756-6110</t>
  </si>
  <si>
    <t xml:space="preserve">2026-04-18</t>
  </si>
  <si>
    <t xml:space="preserve">Anthropic API Credits - Receipt #2218-4364-7305</t>
  </si>
  <si>
    <t xml:space="preserve">2026-04-16</t>
  </si>
  <si>
    <t xml:space="preserve">Anthropic API Credits - Receipt #2981-9595-7448</t>
  </si>
  <si>
    <t xml:space="preserve">Anthropic API Credits - Receipt #2413-0886-7261</t>
  </si>
  <si>
    <t xml:space="preserve">2026-04-19</t>
  </si>
  <si>
    <t xml:space="preserve">Capgo</t>
  </si>
  <si>
    <t xml:space="preserve">Capgo Solo plan - Receipt #2745-4849</t>
  </si>
  <si>
    <t xml:space="preserve">OTA לאפליקציית BrikOps - חיוב חודשי</t>
  </si>
  <si>
    <t xml:space="preserve">2026-05-02</t>
  </si>
  <si>
    <t xml:space="preserve">MongoDB Atlas</t>
  </si>
  <si>
    <t xml:space="preserve">MongoDB Atlas - חיוב חודשי</t>
  </si>
  <si>
    <t xml:space="preserve">Visa</t>
  </si>
  <si>
    <t xml:space="preserve">לא</t>
  </si>
  <si>
    <t xml:space="preserve">Database hosting</t>
  </si>
  <si>
    <t xml:space="preserve">2026-03-02</t>
  </si>
  <si>
    <t xml:space="preserve">2026-05-01</t>
  </si>
  <si>
    <t xml:space="preserve">DigitalOcean</t>
  </si>
  <si>
    <t xml:space="preserve">DigitalOcean - חיוב חודש 2026-04</t>
  </si>
  <si>
    <t xml:space="preserve">Twilio</t>
  </si>
  <si>
    <t xml:space="preserve">Twilio auto-recharge - BrikOps</t>
  </si>
  <si>
    <t xml:space="preserve">Card-7851</t>
  </si>
  <si>
    <t xml:space="preserve">SMS / verification API</t>
  </si>
  <si>
    <t xml:space="preserve">2026-04-20</t>
  </si>
  <si>
    <t xml:space="preserve">2026-02-20</t>
  </si>
  <si>
    <t xml:space="preserve">Twilio account funded - BrikOps</t>
  </si>
  <si>
    <t xml:space="preserve">טעינה ידנית</t>
  </si>
  <si>
    <t xml:space="preserve">2026-03-31</t>
  </si>
  <si>
    <t xml:space="preserve">Apple Developer</t>
  </si>
  <si>
    <t xml:space="preserve">Apple Developer Program - מינוי שנתי</t>
  </si>
  <si>
    <t xml:space="preserve">ILS</t>
  </si>
  <si>
    <t xml:space="preserve">Apple Pay</t>
  </si>
  <si>
    <t xml:space="preserve">מינוי שנתי - חיוב עד 31.03.2027</t>
  </si>
  <si>
    <t xml:space="preserve">Looka</t>
  </si>
  <si>
    <t xml:space="preserve">Looka Brand Kit Subscription - שנתי</t>
  </si>
  <si>
    <t xml:space="preserve">מנוי שנתי לעיצוב לוגו ומותג</t>
  </si>
  <si>
    <t xml:space="preserve">Invideo</t>
  </si>
  <si>
    <t xml:space="preserve">Invideo AI - Generative Addon</t>
  </si>
  <si>
    <t xml:space="preserve">וידאו - הוספת קרדיטים</t>
  </si>
  <si>
    <t xml:space="preserve">Invideo AI Plus subscription</t>
  </si>
  <si>
    <t xml:space="preserve">מנוי - סכום בקובץ</t>
  </si>
  <si>
    <t xml:space="preserve">PrimeTestLab</t>
  </si>
  <si>
    <t xml:space="preserve">PrimeTestLab Closed Testing Services - Invoice #P07382235</t>
  </si>
  <si>
    <t xml:space="preserve">?</t>
  </si>
  <si>
    <t xml:space="preserve">שירותי בדיקות לאפליקציה - לאמת סכום</t>
  </si>
  <si>
    <t xml:space="preserve">GoDaddy</t>
  </si>
  <si>
    <t xml:space="preserve">GoDaddy - April account summary</t>
  </si>
  <si>
    <t xml:space="preserve">domain - לבדוק האם יש חיוב חדש</t>
  </si>
  <si>
    <t xml:space="preserve">Partner תקשורת</t>
  </si>
  <si>
    <t xml:space="preserve">תקשורת</t>
  </si>
  <si>
    <t xml:space="preserve">חשבונית חודשית - מרץ 2026</t>
  </si>
  <si>
    <t xml:space="preserve">2026-03-18</t>
  </si>
  <si>
    <t xml:space="preserve">חשבונית חודשית - פברואר 2026</t>
  </si>
  <si>
    <t xml:space="preserve">2026-02-17</t>
  </si>
  <si>
    <t xml:space="preserve">חשבונית חודשית - ינואר 2026</t>
  </si>
  <si>
    <t xml:space="preserve">2026-01-19</t>
  </si>
  <si>
    <t xml:space="preserve">חשבונית חודשית - דצמבר 2025</t>
  </si>
  <si>
    <t xml:space="preserve">חשבונית של דצמבר אבל הגיעה בינואר</t>
  </si>
  <si>
    <t xml:space="preserve">סופרפאוור (Electra)</t>
  </si>
  <si>
    <t xml:space="preserve">חשמל</t>
  </si>
  <si>
    <t xml:space="preserve">חשבונית חשמל סופרפאוור 553025310</t>
  </si>
  <si>
    <t xml:space="preserve">חשבונית חשמל סופרפאוור 55945446</t>
  </si>
  <si>
    <t xml:space="preserve">מי 7</t>
  </si>
  <si>
    <t xml:space="preserve">מים</t>
  </si>
  <si>
    <t xml:space="preserve">חשבונית מס/קבלה</t>
  </si>
  <si>
    <t xml:space="preserve">2026-04-11</t>
  </si>
  <si>
    <t xml:space="preserve">סקאלה אנרגיה</t>
  </si>
  <si>
    <t xml:space="preserve">טעינת רכב</t>
  </si>
  <si>
    <t xml:space="preserve">טעינה ברשת ציבורית</t>
  </si>
  <si>
    <t xml:space="preserve">iCount</t>
  </si>
  <si>
    <t xml:space="preserve">הנהלת חשבונות</t>
  </si>
  <si>
    <t xml:space="preserve">iCount - קבלה 14075</t>
  </si>
  <si>
    <t xml:space="preserve">2026-04-23</t>
  </si>
  <si>
    <t xml:space="preserve">iCount - חשבונית מס קבלה 2034288</t>
  </si>
  <si>
    <t xml:space="preserve">morning (חשבונית ירוקה)</t>
  </si>
  <si>
    <t xml:space="preserve">חשבון חודשי - מאי 2026</t>
  </si>
  <si>
    <t xml:space="preserve">מנוי חודשי - חשבונית ירוקה בע"מ</t>
  </si>
  <si>
    <t xml:space="preserve">מינוי Best חודשי - חידוש אוטומטי</t>
  </si>
  <si>
    <t xml:space="preserve">2026-03-22</t>
  </si>
  <si>
    <t xml:space="preserve">מינוי Best חודשי - חידוש אוטומטי (חשבון ראשי)</t>
  </si>
  <si>
    <t xml:space="preserve">צ.ע. שמי יזמות בע"מ</t>
  </si>
  <si>
    <t xml:space="preserve">2026-02-05</t>
  </si>
  <si>
    <t xml:space="preserve">מס הכנסה</t>
  </si>
  <si>
    <t xml:space="preserve">מסים</t>
  </si>
  <si>
    <t xml:space="preserve">תשלום מס הכנסה - תיק 203004767</t>
  </si>
  <si>
    <t xml:space="preserve">העברה בנקאית</t>
  </si>
  <si>
    <t xml:space="preserve">תשלום כיסוי חוב קיים</t>
  </si>
  <si>
    <t xml:space="preserve">רשות התאגידים</t>
  </si>
  <si>
    <t xml:space="preserve">מסים / אגרות</t>
  </si>
  <si>
    <t xml:space="preserve">אגרה שנתית מופחתת לחברה 2026</t>
  </si>
  <si>
    <t xml:space="preserve">ראה גם מייל ב-1.2.2026</t>
  </si>
  <si>
    <t xml:space="preserve">2026-02-01</t>
  </si>
  <si>
    <t xml:space="preserve">אגרה שנתית מופחתת לחברה 2026 (תזכורת)</t>
  </si>
  <si>
    <t xml:space="preserve">Apple</t>
  </si>
  <si>
    <t xml:space="preserve">מנוי אישי?</t>
  </si>
  <si>
    <t xml:space="preserve">Apple TV+ חודשי</t>
  </si>
  <si>
    <t xml:space="preserve">האם זה לעסק או אישי? לבדוק</t>
  </si>
  <si>
    <t xml:space="preserve">Apple / Google</t>
  </si>
  <si>
    <t xml:space="preserve">YouTube Premium - חודשי</t>
  </si>
  <si>
    <t xml:space="preserve">ככל הנראה אישי</t>
  </si>
  <si>
    <t xml:space="preserve">2026-04-22</t>
  </si>
  <si>
    <t xml:space="preserve">Google Play</t>
  </si>
  <si>
    <t xml:space="preserve">Crunchyroll (Ellation) - חודשי</t>
  </si>
  <si>
    <t xml:space="preserve">Anime - אישי</t>
  </si>
  <si>
    <t xml:space="preserve">Speed Secrets</t>
  </si>
  <si>
    <t xml:space="preserve">Speed Secrets - חידוש מנוי</t>
  </si>
  <si>
    <t xml:space="preserve">מסלול מירוצים - אישי</t>
  </si>
  <si>
    <t xml:space="preserve">Chessly</t>
  </si>
  <si>
    <t xml:space="preserve">Chessly Membership</t>
  </si>
  <si>
    <t xml:space="preserve">שחמט - אישי</t>
  </si>
  <si>
    <t xml:space="preserve">ישראכרט</t>
  </si>
  <si>
    <t xml:space="preserve">אשראי - לפירוט</t>
  </si>
  <si>
    <t xml:space="preserve">פירוט חיובים חודשי - אפריל 2026</t>
  </si>
  <si>
    <t xml:space="preserve">—</t>
  </si>
  <si>
    <t xml:space="preserve">מסמך סיכום אשראי - לבדוק עם הרו"ח</t>
  </si>
  <si>
    <t xml:space="preserve">2026-03-13</t>
  </si>
  <si>
    <t xml:space="preserve">פירוט חיובים חודשי - מרץ 2026</t>
  </si>
  <si>
    <t xml:space="preserve">2026-02-13</t>
  </si>
  <si>
    <t xml:space="preserve">פירוט חיובים חודשי - פברואר 2026</t>
  </si>
  <si>
    <t xml:space="preserve">2026-01-13</t>
  </si>
  <si>
    <t xml:space="preserve">פירוט חיובים חודשי - ינואר 2026</t>
  </si>
  <si>
    <t xml:space="preserve">סה"כ הוצאות מזוהות (₪)</t>
  </si>
  <si>
    <t xml:space="preserve">הערה: שער המרה משוער 1$ = 3.65 ₪. סכומים מסומנים כ"בקובץ מצורף" דורשים פתיחת החשבונית להזנת הסכום המדויק.</t>
  </si>
  <si>
    <t xml:space="preserve">מס' חשבוניות</t>
  </si>
  <si>
    <t xml:space="preserve">סה"כ ש"ח (משוער)</t>
  </si>
  <si>
    <t xml:space="preserve">סה"כ</t>
  </si>
  <si>
    <t xml:space="preserve">ספק/מקור</t>
  </si>
  <si>
    <t xml:space="preserve">2026-05-05</t>
  </si>
  <si>
    <t xml:space="preserve">morning</t>
  </si>
  <si>
    <t xml:space="preserve">דוח הכנסות תקופתי - 01.03.2026 - 30.04.2026</t>
  </si>
  <si>
    <t xml:space="preserve">דוח הכנסות תקופתי - 01.02.2026 - 30.04.2026</t>
  </si>
  <si>
    <t xml:space="preserve">דוח הכנסות תקופתי - 01.03.2026 - 23.04.2026</t>
  </si>
  <si>
    <t xml:space="preserve">דוח הכנסות תקופתי - 01.02.2026 - 31.03.2026</t>
  </si>
  <si>
    <t xml:space="preserve">דוח הוצאות עסקי - ינואר עד 5 במאי 2026</t>
  </si>
  <si>
    <t xml:space="preserve">מה יש בקובץ:</t>
  </si>
  <si>
    <t xml:space="preserve">• "כל ההוצאות" - כל ההוצאות שזוהו במייל, מסודרות לפי תאריך, עם קישור ישיר ל-Gmail.</t>
  </si>
  <si>
    <t xml:space="preserve">• "סיכום לפי קטגוריה" - אגרגציה לפי סוג הוצאה (SaaS / חשמל / מסים וכו').</t>
  </si>
  <si>
    <t xml:space="preserve">• "סיכום לפי ספק" - מי הספק שעלה לי הכי הרבה.</t>
  </si>
  <si>
    <t xml:space="preserve">• "דוחות הכנסות" - דוחות תקופתיים ממורנינג (חשבונית ירוקה) - להעברה גם הם לרו"ח.</t>
  </si>
  <si>
    <t xml:space="preserve">איך להוריד את החשבוניות בעצמך:</t>
  </si>
  <si>
    <t xml:space="preserve">1. בעמודה "קישור למייל" יש לחיצה ישירה לכל מייל ב-Gmail.</t>
  </si>
  <si>
    <t xml:space="preserve">2. ב-Gmail: לחיצה על המצורף → הורדה. שמירה בתיקייה "הוצאות 2026/חשבוניות".</t>
  </si>
  <si>
    <t xml:space="preserve">3. לחלופין: ב-Gmail אפשר ליצור label "הוצאות 2026" ולסמן את כל המיילים האלה, ואז להוריד את כולם בבת אחת.</t>
  </si>
  <si>
    <t xml:space="preserve">הערות חשובות לרו"ח:</t>
  </si>
  <si>
    <t xml:space="preserve">• שער המרה משוער 1$ = 3.65 ₪. הרו"ח יחליף בשער יום העסקה האמיתי.</t>
  </si>
  <si>
    <t xml:space="preserve">• סכומים מסומנים כ"בקובץ מצורף" - יש לפתוח את ה-PDF להזנת הסכום המדויק.</t>
  </si>
  <si>
    <t xml:space="preserve">• הוצאות שסומנו "מנוי אישי?" (Apple TV, YouTube, Crunchyroll, Chessly, Speed Secrets) - לבדוק אם להכיר כעסקי.</t>
  </si>
  <si>
    <t xml:space="preserve">• פירוטי ישראכרט החודשיים (קטגוריה "אשראי - לפירוט") - הם סיכום, לא חשבונית, ולא נספרים בסה"כ.</t>
  </si>
  <si>
    <t xml:space="preserve">• חשבוניות זיכוי לארגון "בדיקה 1" / "BrikOps Test" סוננו - אלו מסמכי בדיקה של מערכת התשלומים, לא הוצאות.</t>
  </si>
  <si>
    <t xml:space="preserve">• Wolt (אוכל) - לא נכלל. אם רלוונטי לארוחות עבודה - להוסיף ידנית.</t>
  </si>
  <si>
    <t xml:space="preserve">נוצר אוטומטית מסריקה של זאחי במייל zahis10@gmail.com.</t>
  </si>
  <si>
    <t xml:space="preserve">תאריך הפקה: 5 במאי 2026.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</si>
</sst>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.00&quot; ₪&quot;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45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35"/>
    <col collapsed="false" customWidth="true" hidden="false" outlineLevel="0" max="11" min="11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3" t="n">
        <v>31.6</v>
      </c>
      <c r="F2" s="2" t="s">
        <v>15</v>
      </c>
      <c r="G2" s="4" t="n">
        <v>115.34</v>
      </c>
      <c r="H2" s="2" t="s">
        <v>16</v>
      </c>
      <c r="I2" s="2" t="s">
        <v>17</v>
      </c>
      <c r="J2" s="2" t="s">
        <v>18</v>
      </c>
      <c r="K2" s="5" t="str">
        <f aca="false">HYPERLINK("https://mail.google.com/mail/u/0/#inbox/19df0ab2b09afef1", "פתיחה ב-Gmail")</f>
        <v>פתיחה ב-Gmail</v>
      </c>
    </row>
    <row r="3" customFormat="false" ht="23.85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19</v>
      </c>
      <c r="E3" s="3" t="n">
        <v>25</v>
      </c>
      <c r="F3" s="2" t="s">
        <v>15</v>
      </c>
      <c r="G3" s="4" t="n">
        <v>91.25</v>
      </c>
      <c r="H3" s="2" t="s">
        <v>16</v>
      </c>
      <c r="I3" s="2" t="s">
        <v>17</v>
      </c>
      <c r="J3" s="2" t="s">
        <v>20</v>
      </c>
      <c r="K3" s="5" t="str">
        <f aca="false">HYPERLINK("https://mail.google.com/mail/u/0/#inbox/19dee11bf245862e", "פתיחה ב-Gmail")</f>
        <v>פתיחה ב-Gmail</v>
      </c>
    </row>
    <row r="4" customFormat="false" ht="15" hidden="false" customHeight="false" outlineLevel="0" collapsed="false">
      <c r="A4" s="2" t="s">
        <v>21</v>
      </c>
      <c r="B4" s="2" t="s">
        <v>12</v>
      </c>
      <c r="C4" s="2" t="s">
        <v>13</v>
      </c>
      <c r="D4" s="2" t="s">
        <v>22</v>
      </c>
      <c r="E4" s="3" t="n">
        <v>250.1</v>
      </c>
      <c r="F4" s="2" t="s">
        <v>15</v>
      </c>
      <c r="G4" s="4" t="n">
        <v>912.87</v>
      </c>
      <c r="H4" s="2" t="s">
        <v>16</v>
      </c>
      <c r="I4" s="2" t="s">
        <v>17</v>
      </c>
      <c r="J4" s="2" t="s">
        <v>23</v>
      </c>
      <c r="K4" s="5" t="str">
        <f aca="false">HYPERLINK("https://mail.google.com/mail/u/0/#inbox/19ddd4916b2dd844", "פתיחה ב-Gmail")</f>
        <v>פתיחה ב-Gmail</v>
      </c>
    </row>
    <row r="5" customFormat="false" ht="15" hidden="false" customHeight="false" outlineLevel="0" collapsed="false">
      <c r="A5" s="2" t="s">
        <v>24</v>
      </c>
      <c r="B5" s="2" t="s">
        <v>12</v>
      </c>
      <c r="C5" s="2" t="s">
        <v>13</v>
      </c>
      <c r="D5" s="2" t="s">
        <v>25</v>
      </c>
      <c r="E5" s="3" t="s">
        <v>26</v>
      </c>
      <c r="F5" s="2" t="s">
        <v>15</v>
      </c>
      <c r="G5" s="4"/>
      <c r="H5" s="2" t="s">
        <v>16</v>
      </c>
      <c r="I5" s="2" t="s">
        <v>17</v>
      </c>
      <c r="J5" s="2" t="s">
        <v>27</v>
      </c>
      <c r="K5" s="5" t="str">
        <f aca="false">HYPERLINK("https://mail.google.com/mail/u/0/#inbox/19d921cdd1b2937c", "פתיחה ב-Gmail")</f>
        <v>פתיחה ב-Gmail</v>
      </c>
    </row>
    <row r="6" customFormat="false" ht="15" hidden="false" customHeight="false" outlineLevel="0" collapsed="false">
      <c r="A6" s="2" t="s">
        <v>24</v>
      </c>
      <c r="B6" s="2" t="s">
        <v>12</v>
      </c>
      <c r="C6" s="2" t="s">
        <v>13</v>
      </c>
      <c r="D6" s="2" t="s">
        <v>28</v>
      </c>
      <c r="E6" s="3" t="n">
        <v>22.73</v>
      </c>
      <c r="F6" s="2" t="s">
        <v>15</v>
      </c>
      <c r="G6" s="4" t="n">
        <v>82.96</v>
      </c>
      <c r="H6" s="2" t="s">
        <v>16</v>
      </c>
      <c r="I6" s="2" t="s">
        <v>17</v>
      </c>
      <c r="J6" s="2"/>
      <c r="K6" s="5" t="str">
        <f aca="false">HYPERLINK("https://mail.google.com/mail/u/0/#inbox/19d912de249b78bf", "פתיחה ב-Gmail")</f>
        <v>פתיחה ב-Gmail</v>
      </c>
    </row>
    <row r="7" customFormat="false" ht="15" hidden="false" customHeight="false" outlineLevel="0" collapsed="false">
      <c r="A7" s="2" t="s">
        <v>29</v>
      </c>
      <c r="B7" s="2" t="s">
        <v>12</v>
      </c>
      <c r="C7" s="2" t="s">
        <v>13</v>
      </c>
      <c r="D7" s="2" t="s">
        <v>30</v>
      </c>
      <c r="E7" s="3" t="n">
        <v>50.01</v>
      </c>
      <c r="F7" s="2" t="s">
        <v>15</v>
      </c>
      <c r="G7" s="4" t="n">
        <v>182.54</v>
      </c>
      <c r="H7" s="2" t="s">
        <v>16</v>
      </c>
      <c r="I7" s="2" t="s">
        <v>17</v>
      </c>
      <c r="J7" s="2"/>
      <c r="K7" s="5" t="str">
        <f aca="false">HYPERLINK("https://mail.google.com/mail/u/0/#inbox/19d88e6b21a5d88e", "פתיחה ב-Gmail")</f>
        <v>פתיחה ב-Gmail</v>
      </c>
    </row>
    <row r="8" customFormat="false" ht="15" hidden="false" customHeight="false" outlineLevel="0" collapsed="false">
      <c r="A8" s="2" t="s">
        <v>31</v>
      </c>
      <c r="B8" s="2" t="s">
        <v>12</v>
      </c>
      <c r="C8" s="2" t="s">
        <v>13</v>
      </c>
      <c r="D8" s="2" t="s">
        <v>32</v>
      </c>
      <c r="E8" s="3" t="n">
        <v>51.14</v>
      </c>
      <c r="F8" s="2" t="s">
        <v>15</v>
      </c>
      <c r="G8" s="4" t="n">
        <v>186.66</v>
      </c>
      <c r="H8" s="2" t="s">
        <v>16</v>
      </c>
      <c r="I8" s="2" t="s">
        <v>17</v>
      </c>
      <c r="J8" s="2"/>
      <c r="K8" s="5" t="str">
        <f aca="false">HYPERLINK("https://mail.google.com/mail/u/0/#inbox/19d8197f85427775", "פתיחה ב-Gmail")</f>
        <v>פתיחה ב-Gmail</v>
      </c>
    </row>
    <row r="9" customFormat="false" ht="15" hidden="false" customHeight="false" outlineLevel="0" collapsed="false">
      <c r="A9" s="2" t="s">
        <v>33</v>
      </c>
      <c r="B9" s="2" t="s">
        <v>12</v>
      </c>
      <c r="C9" s="2" t="s">
        <v>13</v>
      </c>
      <c r="D9" s="2" t="s">
        <v>34</v>
      </c>
      <c r="E9" s="3" t="n">
        <v>50.23</v>
      </c>
      <c r="F9" s="2" t="s">
        <v>15</v>
      </c>
      <c r="G9" s="4" t="n">
        <v>183.34</v>
      </c>
      <c r="H9" s="2" t="s">
        <v>16</v>
      </c>
      <c r="I9" s="2" t="s">
        <v>17</v>
      </c>
      <c r="J9" s="2"/>
      <c r="K9" s="5" t="str">
        <f aca="false">HYPERLINK("https://mail.google.com/mail/u/0/#inbox/19d77b9954f1356f", "פתיחה ב-Gmail")</f>
        <v>פתיחה ב-Gmail</v>
      </c>
    </row>
    <row r="10" customFormat="false" ht="15" hidden="false" customHeight="false" outlineLevel="0" collapsed="false">
      <c r="A10" s="2" t="s">
        <v>35</v>
      </c>
      <c r="B10" s="2" t="s">
        <v>12</v>
      </c>
      <c r="C10" s="2" t="s">
        <v>13</v>
      </c>
      <c r="D10" s="2" t="s">
        <v>36</v>
      </c>
      <c r="E10" s="3" t="n">
        <v>50.31</v>
      </c>
      <c r="F10" s="2" t="s">
        <v>15</v>
      </c>
      <c r="G10" s="4" t="n">
        <v>183.63</v>
      </c>
      <c r="H10" s="2" t="s">
        <v>16</v>
      </c>
      <c r="I10" s="2" t="s">
        <v>17</v>
      </c>
      <c r="J10" s="2"/>
      <c r="K10" s="5" t="str">
        <f aca="false">HYPERLINK("https://mail.google.com/mail/u/0/#inbox/19d6e1f53d85762e", "פתיחה ב-Gmail")</f>
        <v>פתיחה ב-Gmail</v>
      </c>
    </row>
    <row r="11" customFormat="false" ht="15" hidden="false" customHeight="false" outlineLevel="0" collapsed="false">
      <c r="A11" s="2" t="s">
        <v>37</v>
      </c>
      <c r="B11" s="2" t="s">
        <v>12</v>
      </c>
      <c r="C11" s="2" t="s">
        <v>13</v>
      </c>
      <c r="D11" s="2" t="s">
        <v>38</v>
      </c>
      <c r="E11" s="3" t="n">
        <v>50.13</v>
      </c>
      <c r="F11" s="2" t="s">
        <v>15</v>
      </c>
      <c r="G11" s="4" t="n">
        <v>182.97</v>
      </c>
      <c r="H11" s="2" t="s">
        <v>16</v>
      </c>
      <c r="I11" s="2" t="s">
        <v>17</v>
      </c>
      <c r="J11" s="2"/>
      <c r="K11" s="5" t="str">
        <f aca="false">HYPERLINK("https://mail.google.com/mail/u/0/#inbox/19d647995cf683b7", "פתיחה ב-Gmail")</f>
        <v>פתיחה ב-Gmail</v>
      </c>
    </row>
    <row r="12" customFormat="false" ht="15" hidden="false" customHeight="false" outlineLevel="0" collapsed="false">
      <c r="A12" s="2" t="s">
        <v>39</v>
      </c>
      <c r="B12" s="2" t="s">
        <v>12</v>
      </c>
      <c r="C12" s="2" t="s">
        <v>13</v>
      </c>
      <c r="D12" s="2" t="s">
        <v>40</v>
      </c>
      <c r="E12" s="3" t="n">
        <v>50.58</v>
      </c>
      <c r="F12" s="2" t="s">
        <v>15</v>
      </c>
      <c r="G12" s="4" t="n">
        <v>184.62</v>
      </c>
      <c r="H12" s="2" t="s">
        <v>16</v>
      </c>
      <c r="I12" s="2" t="s">
        <v>17</v>
      </c>
      <c r="J12" s="2"/>
      <c r="K12" s="5" t="str">
        <f aca="false">HYPERLINK("https://mail.google.com/mail/u/0/#inbox/19d5eb7352136abb", "פתיחה ב-Gmail")</f>
        <v>פתיחה ב-Gmail</v>
      </c>
    </row>
    <row r="13" customFormat="false" ht="15" hidden="false" customHeight="false" outlineLevel="0" collapsed="false">
      <c r="A13" s="2" t="s">
        <v>41</v>
      </c>
      <c r="B13" s="2" t="s">
        <v>12</v>
      </c>
      <c r="C13" s="2" t="s">
        <v>13</v>
      </c>
      <c r="D13" s="2" t="s">
        <v>42</v>
      </c>
      <c r="E13" s="3" t="n">
        <v>50.52</v>
      </c>
      <c r="F13" s="2" t="s">
        <v>15</v>
      </c>
      <c r="G13" s="4" t="n">
        <v>184.4</v>
      </c>
      <c r="H13" s="2" t="s">
        <v>16</v>
      </c>
      <c r="I13" s="2" t="s">
        <v>17</v>
      </c>
      <c r="J13" s="2"/>
      <c r="K13" s="5" t="str">
        <f aca="false">HYPERLINK("https://mail.google.com/mail/u/0/#inbox/19d53762a2c0c8bf", "פתיחה ב-Gmail")</f>
        <v>פתיחה ב-Gmail</v>
      </c>
    </row>
    <row r="14" customFormat="false" ht="15" hidden="false" customHeight="false" outlineLevel="0" collapsed="false">
      <c r="A14" s="2" t="s">
        <v>43</v>
      </c>
      <c r="B14" s="2" t="s">
        <v>12</v>
      </c>
      <c r="C14" s="2" t="s">
        <v>13</v>
      </c>
      <c r="D14" s="2" t="s">
        <v>44</v>
      </c>
      <c r="E14" s="3" t="n">
        <v>50.49</v>
      </c>
      <c r="F14" s="2" t="s">
        <v>15</v>
      </c>
      <c r="G14" s="4" t="n">
        <v>184.29</v>
      </c>
      <c r="H14" s="2" t="s">
        <v>16</v>
      </c>
      <c r="I14" s="2" t="s">
        <v>17</v>
      </c>
      <c r="J14" s="2"/>
      <c r="K14" s="5" t="str">
        <f aca="false">HYPERLINK("https://mail.google.com/mail/u/0/#inbox/19d4d737d9bacaf0", "פתיחה ב-Gmail")</f>
        <v>פתיחה ב-Gmail</v>
      </c>
    </row>
    <row r="15" customFormat="false" ht="15" hidden="false" customHeight="false" outlineLevel="0" collapsed="false">
      <c r="A15" s="2" t="s">
        <v>45</v>
      </c>
      <c r="B15" s="2" t="s">
        <v>12</v>
      </c>
      <c r="C15" s="2" t="s">
        <v>13</v>
      </c>
      <c r="D15" s="2" t="s">
        <v>46</v>
      </c>
      <c r="E15" s="3" t="n">
        <v>50.05</v>
      </c>
      <c r="F15" s="2" t="s">
        <v>15</v>
      </c>
      <c r="G15" s="4" t="n">
        <v>182.68</v>
      </c>
      <c r="H15" s="2" t="s">
        <v>16</v>
      </c>
      <c r="I15" s="2" t="s">
        <v>17</v>
      </c>
      <c r="J15" s="2"/>
      <c r="K15" s="5" t="str">
        <f aca="false">HYPERLINK("https://mail.google.com/mail/u/0/#inbox/19d48e7b0c42470c", "פתיחה ב-Gmail")</f>
        <v>פתיחה ב-Gmail</v>
      </c>
    </row>
    <row r="16" customFormat="false" ht="15" hidden="false" customHeight="false" outlineLevel="0" collapsed="false">
      <c r="A16" s="2" t="s">
        <v>47</v>
      </c>
      <c r="B16" s="2" t="s">
        <v>12</v>
      </c>
      <c r="C16" s="2" t="s">
        <v>13</v>
      </c>
      <c r="D16" s="2" t="s">
        <v>48</v>
      </c>
      <c r="E16" s="3" t="n">
        <v>50.66</v>
      </c>
      <c r="F16" s="2" t="s">
        <v>15</v>
      </c>
      <c r="G16" s="4" t="n">
        <v>184.91</v>
      </c>
      <c r="H16" s="2" t="s">
        <v>16</v>
      </c>
      <c r="I16" s="2" t="s">
        <v>17</v>
      </c>
      <c r="J16" s="2"/>
      <c r="K16" s="5" t="str">
        <f aca="false">HYPERLINK("https://mail.google.com/mail/u/0/#inbox/19d3d4345913f5ac", "פתיחה ב-Gmail")</f>
        <v>פתיחה ב-Gmail</v>
      </c>
    </row>
    <row r="17" customFormat="false" ht="15" hidden="false" customHeight="false" outlineLevel="0" collapsed="false">
      <c r="A17" s="2" t="s">
        <v>49</v>
      </c>
      <c r="B17" s="2" t="s">
        <v>12</v>
      </c>
      <c r="C17" s="2" t="s">
        <v>13</v>
      </c>
      <c r="D17" s="2" t="s">
        <v>50</v>
      </c>
      <c r="E17" s="3" t="n">
        <v>50.05</v>
      </c>
      <c r="F17" s="2" t="s">
        <v>15</v>
      </c>
      <c r="G17" s="4" t="n">
        <v>182.68</v>
      </c>
      <c r="H17" s="2" t="s">
        <v>16</v>
      </c>
      <c r="I17" s="2" t="s">
        <v>17</v>
      </c>
      <c r="J17" s="2"/>
      <c r="K17" s="5" t="str">
        <f aca="false">HYPERLINK("https://mail.google.com/mail/u/0/#inbox/19d37d7eac692c88", "פתיחה ב-Gmail")</f>
        <v>פתיחה ב-Gmail</v>
      </c>
    </row>
    <row r="18" customFormat="false" ht="15" hidden="false" customHeight="false" outlineLevel="0" collapsed="false">
      <c r="A18" s="2" t="s">
        <v>49</v>
      </c>
      <c r="B18" s="2" t="s">
        <v>12</v>
      </c>
      <c r="C18" s="2" t="s">
        <v>13</v>
      </c>
      <c r="D18" s="2" t="s">
        <v>51</v>
      </c>
      <c r="E18" s="3" t="n">
        <v>51.14</v>
      </c>
      <c r="F18" s="2" t="s">
        <v>15</v>
      </c>
      <c r="G18" s="4" t="n">
        <v>186.66</v>
      </c>
      <c r="H18" s="2" t="s">
        <v>16</v>
      </c>
      <c r="I18" s="2" t="s">
        <v>17</v>
      </c>
      <c r="J18" s="2"/>
      <c r="K18" s="5" t="str">
        <f aca="false">HYPERLINK("https://mail.google.com/mail/u/0/#inbox/19d336eefbad3c53", "פתיחה ב-Gmail")</f>
        <v>פתיחה ב-Gmail</v>
      </c>
    </row>
    <row r="19" customFormat="false" ht="15" hidden="false" customHeight="false" outlineLevel="0" collapsed="false">
      <c r="A19" s="2" t="s">
        <v>52</v>
      </c>
      <c r="B19" s="2" t="s">
        <v>12</v>
      </c>
      <c r="C19" s="2" t="s">
        <v>13</v>
      </c>
      <c r="D19" s="2" t="s">
        <v>53</v>
      </c>
      <c r="E19" s="3" t="n">
        <v>54.11</v>
      </c>
      <c r="F19" s="2" t="s">
        <v>15</v>
      </c>
      <c r="G19" s="4" t="n">
        <v>197.5</v>
      </c>
      <c r="H19" s="2" t="s">
        <v>16</v>
      </c>
      <c r="I19" s="2" t="s">
        <v>17</v>
      </c>
      <c r="J19" s="2"/>
      <c r="K19" s="5" t="str">
        <f aca="false">HYPERLINK("https://mail.google.com/mail/u/0/#inbox/19d2bb5c218d0fc9", "פתיחה ב-Gmail")</f>
        <v>פתיחה ב-Gmail</v>
      </c>
    </row>
    <row r="20" customFormat="false" ht="15" hidden="false" customHeight="false" outlineLevel="0" collapsed="false">
      <c r="A20" s="2" t="s">
        <v>52</v>
      </c>
      <c r="B20" s="2" t="s">
        <v>12</v>
      </c>
      <c r="C20" s="2" t="s">
        <v>13</v>
      </c>
      <c r="D20" s="2" t="s">
        <v>54</v>
      </c>
      <c r="E20" s="3" t="n">
        <v>51.46</v>
      </c>
      <c r="F20" s="2" t="s">
        <v>15</v>
      </c>
      <c r="G20" s="4" t="n">
        <v>187.83</v>
      </c>
      <c r="H20" s="2" t="s">
        <v>16</v>
      </c>
      <c r="I20" s="2" t="s">
        <v>17</v>
      </c>
      <c r="J20" s="2"/>
      <c r="K20" s="5" t="str">
        <f aca="false">HYPERLINK("https://mail.google.com/mail/u/0/#inbox/19d28ff7368822a6", "פתיחה ב-Gmail")</f>
        <v>פתיחה ב-Gmail</v>
      </c>
    </row>
    <row r="21" customFormat="false" ht="15" hidden="false" customHeight="false" outlineLevel="0" collapsed="false">
      <c r="A21" s="2" t="s">
        <v>55</v>
      </c>
      <c r="B21" s="2" t="s">
        <v>12</v>
      </c>
      <c r="C21" s="2" t="s">
        <v>13</v>
      </c>
      <c r="D21" s="2" t="s">
        <v>56</v>
      </c>
      <c r="E21" s="3" t="n">
        <v>51.67</v>
      </c>
      <c r="F21" s="2" t="s">
        <v>15</v>
      </c>
      <c r="G21" s="4" t="n">
        <v>188.6</v>
      </c>
      <c r="H21" s="2" t="s">
        <v>16</v>
      </c>
      <c r="I21" s="2" t="s">
        <v>17</v>
      </c>
      <c r="J21" s="2"/>
      <c r="K21" s="5" t="str">
        <f aca="false">HYPERLINK("https://mail.google.com/mail/u/0/#inbox/19d242dabe62821b", "פתיחה ב-Gmail")</f>
        <v>פתיחה ב-Gmail</v>
      </c>
    </row>
    <row r="22" customFormat="false" ht="15" hidden="false" customHeight="false" outlineLevel="0" collapsed="false">
      <c r="A22" s="2" t="s">
        <v>57</v>
      </c>
      <c r="B22" s="2" t="s">
        <v>12</v>
      </c>
      <c r="C22" s="2" t="s">
        <v>13</v>
      </c>
      <c r="D22" s="2" t="s">
        <v>58</v>
      </c>
      <c r="E22" s="3" t="n">
        <v>50.41</v>
      </c>
      <c r="F22" s="2" t="s">
        <v>15</v>
      </c>
      <c r="G22" s="4" t="n">
        <v>184</v>
      </c>
      <c r="H22" s="2" t="s">
        <v>16</v>
      </c>
      <c r="I22" s="2" t="s">
        <v>17</v>
      </c>
      <c r="J22" s="2"/>
      <c r="K22" s="5" t="str">
        <f aca="false">HYPERLINK("https://mail.google.com/mail/u/0/#inbox/19d1f07335972489", "פתיחה ב-Gmail")</f>
        <v>פתיחה ב-Gmail</v>
      </c>
    </row>
    <row r="23" customFormat="false" ht="15" hidden="false" customHeight="false" outlineLevel="0" collapsed="false">
      <c r="A23" s="2" t="s">
        <v>59</v>
      </c>
      <c r="B23" s="2" t="s">
        <v>12</v>
      </c>
      <c r="C23" s="2" t="s">
        <v>13</v>
      </c>
      <c r="D23" s="2" t="s">
        <v>60</v>
      </c>
      <c r="E23" s="3" t="n">
        <v>50.98</v>
      </c>
      <c r="F23" s="2" t="s">
        <v>15</v>
      </c>
      <c r="G23" s="4" t="n">
        <v>186.08</v>
      </c>
      <c r="H23" s="2" t="s">
        <v>16</v>
      </c>
      <c r="I23" s="2" t="s">
        <v>17</v>
      </c>
      <c r="J23" s="2"/>
      <c r="K23" s="5" t="str">
        <f aca="false">HYPERLINK("https://mail.google.com/mail/u/0/#inbox/19d1be4f1c3d5ac3", "פתיחה ב-Gmail")</f>
        <v>פתיחה ב-Gmail</v>
      </c>
    </row>
    <row r="24" customFormat="false" ht="15" hidden="false" customHeight="false" outlineLevel="0" collapsed="false">
      <c r="A24" s="2" t="s">
        <v>61</v>
      </c>
      <c r="B24" s="2" t="s">
        <v>62</v>
      </c>
      <c r="C24" s="2" t="s">
        <v>13</v>
      </c>
      <c r="D24" s="2" t="s">
        <v>63</v>
      </c>
      <c r="E24" s="3" t="n">
        <v>70</v>
      </c>
      <c r="F24" s="2" t="s">
        <v>15</v>
      </c>
      <c r="G24" s="4" t="n">
        <v>255.5</v>
      </c>
      <c r="H24" s="2" t="s">
        <v>64</v>
      </c>
      <c r="I24" s="2" t="s">
        <v>17</v>
      </c>
      <c r="J24" s="2" t="s">
        <v>65</v>
      </c>
      <c r="K24" s="5" t="str">
        <f aca="false">HYPERLINK("https://mail.google.com/mail/u/0/#inbox/19dcad8322cee95f", "פתיחה ב-Gmail")</f>
        <v>פתיחה ב-Gmail</v>
      </c>
    </row>
    <row r="25" customFormat="false" ht="15" hidden="false" customHeight="false" outlineLevel="0" collapsed="false">
      <c r="A25" s="2" t="s">
        <v>61</v>
      </c>
      <c r="B25" s="2" t="s">
        <v>62</v>
      </c>
      <c r="C25" s="2" t="s">
        <v>13</v>
      </c>
      <c r="D25" s="2" t="s">
        <v>66</v>
      </c>
      <c r="E25" s="3" t="s">
        <v>26</v>
      </c>
      <c r="F25" s="2" t="s">
        <v>15</v>
      </c>
      <c r="G25" s="4"/>
      <c r="H25" s="2" t="s">
        <v>64</v>
      </c>
      <c r="I25" s="2" t="s">
        <v>17</v>
      </c>
      <c r="J25" s="2" t="s">
        <v>27</v>
      </c>
      <c r="K25" s="5" t="str">
        <f aca="false">HYPERLINK("https://mail.google.com/mail/u/0/#inbox/19dc9ccf735a6118", "פתיחה ב-Gmail")</f>
        <v>פתיחה ב-Gmail</v>
      </c>
    </row>
    <row r="26" customFormat="false" ht="15" hidden="false" customHeight="false" outlineLevel="0" collapsed="false">
      <c r="A26" s="2" t="s">
        <v>67</v>
      </c>
      <c r="B26" s="2" t="s">
        <v>62</v>
      </c>
      <c r="C26" s="2" t="s">
        <v>13</v>
      </c>
      <c r="D26" s="2" t="s">
        <v>68</v>
      </c>
      <c r="E26" s="3" t="s">
        <v>26</v>
      </c>
      <c r="F26" s="2" t="s">
        <v>15</v>
      </c>
      <c r="G26" s="4"/>
      <c r="H26" s="2" t="s">
        <v>64</v>
      </c>
      <c r="I26" s="2" t="s">
        <v>17</v>
      </c>
      <c r="J26" s="2" t="s">
        <v>27</v>
      </c>
      <c r="K26" s="5" t="str">
        <f aca="false">HYPERLINK("https://mail.google.com/mail/u/0/#inbox/19da258fd7dea440", "פתיחה ב-Gmail")</f>
        <v>פתיחה ב-Gmail</v>
      </c>
    </row>
    <row r="27" customFormat="false" ht="15" hidden="false" customHeight="false" outlineLevel="0" collapsed="false">
      <c r="A27" s="2" t="s">
        <v>69</v>
      </c>
      <c r="B27" s="2" t="s">
        <v>62</v>
      </c>
      <c r="C27" s="2" t="s">
        <v>13</v>
      </c>
      <c r="D27" s="2" t="s">
        <v>70</v>
      </c>
      <c r="E27" s="3" t="s">
        <v>26</v>
      </c>
      <c r="F27" s="2" t="s">
        <v>15</v>
      </c>
      <c r="G27" s="4"/>
      <c r="H27" s="2" t="s">
        <v>64</v>
      </c>
      <c r="I27" s="2" t="s">
        <v>17</v>
      </c>
      <c r="J27" s="2" t="s">
        <v>27</v>
      </c>
      <c r="K27" s="5" t="str">
        <f aca="false">HYPERLINK("https://mail.google.com/mail/u/0/#inbox/19d9616f45f77799", "פתיחה ב-Gmail")</f>
        <v>פתיחה ב-Gmail</v>
      </c>
    </row>
    <row r="28" customFormat="false" ht="15" hidden="false" customHeight="false" outlineLevel="0" collapsed="false">
      <c r="A28" s="2" t="s">
        <v>33</v>
      </c>
      <c r="B28" s="2" t="s">
        <v>62</v>
      </c>
      <c r="C28" s="2" t="s">
        <v>13</v>
      </c>
      <c r="D28" s="2" t="s">
        <v>71</v>
      </c>
      <c r="E28" s="3" t="s">
        <v>26</v>
      </c>
      <c r="F28" s="2" t="s">
        <v>15</v>
      </c>
      <c r="G28" s="4"/>
      <c r="H28" s="2" t="s">
        <v>64</v>
      </c>
      <c r="I28" s="2" t="s">
        <v>17</v>
      </c>
      <c r="J28" s="2" t="s">
        <v>27</v>
      </c>
      <c r="K28" s="5" t="str">
        <f aca="false">HYPERLINK("https://mail.google.com/mail/u/0/#inbox/19d783a5895d501b", "פתיחה ב-Gmail")</f>
        <v>פתיחה ב-Gmail</v>
      </c>
    </row>
    <row r="29" customFormat="false" ht="15" hidden="false" customHeight="false" outlineLevel="0" collapsed="false">
      <c r="A29" s="2" t="s">
        <v>72</v>
      </c>
      <c r="B29" s="2" t="s">
        <v>73</v>
      </c>
      <c r="C29" s="2" t="s">
        <v>13</v>
      </c>
      <c r="D29" s="2" t="s">
        <v>74</v>
      </c>
      <c r="E29" s="3" t="n">
        <v>14</v>
      </c>
      <c r="F29" s="2" t="s">
        <v>15</v>
      </c>
      <c r="G29" s="4" t="n">
        <v>51.1</v>
      </c>
      <c r="H29" s="2" t="s">
        <v>16</v>
      </c>
      <c r="I29" s="2" t="s">
        <v>17</v>
      </c>
      <c r="J29" s="2" t="s">
        <v>75</v>
      </c>
      <c r="K29" s="5" t="str">
        <f aca="false">HYPERLINK("https://mail.google.com/mail/u/0/#inbox/19da793551c9db7e", "פתיחה ב-Gmail")</f>
        <v>פתיחה ב-Gmail</v>
      </c>
    </row>
    <row r="30" customFormat="false" ht="15" hidden="false" customHeight="false" outlineLevel="0" collapsed="false">
      <c r="A30" s="2" t="s">
        <v>76</v>
      </c>
      <c r="B30" s="2" t="s">
        <v>77</v>
      </c>
      <c r="C30" s="2" t="s">
        <v>13</v>
      </c>
      <c r="D30" s="2" t="s">
        <v>78</v>
      </c>
      <c r="E30" s="3" t="n">
        <v>89.6</v>
      </c>
      <c r="F30" s="2" t="s">
        <v>15</v>
      </c>
      <c r="G30" s="4" t="n">
        <v>327.04</v>
      </c>
      <c r="H30" s="2" t="s">
        <v>79</v>
      </c>
      <c r="I30" s="2" t="s">
        <v>80</v>
      </c>
      <c r="J30" s="2" t="s">
        <v>81</v>
      </c>
      <c r="K30" s="5" t="str">
        <f aca="false">HYPERLINK("https://mail.google.com/mail/u/0/#inbox/19de6a5231f6fec1", "פתיחה ב-Gmail")</f>
        <v>פתיחה ב-Gmail</v>
      </c>
    </row>
    <row r="31" customFormat="false" ht="15" hidden="false" customHeight="false" outlineLevel="0" collapsed="false">
      <c r="A31" s="2" t="s">
        <v>43</v>
      </c>
      <c r="B31" s="2" t="s">
        <v>77</v>
      </c>
      <c r="C31" s="2" t="s">
        <v>13</v>
      </c>
      <c r="D31" s="2" t="s">
        <v>78</v>
      </c>
      <c r="E31" s="3" t="n">
        <v>60.32</v>
      </c>
      <c r="F31" s="2" t="s">
        <v>15</v>
      </c>
      <c r="G31" s="4" t="n">
        <v>220.17</v>
      </c>
      <c r="H31" s="2" t="s">
        <v>79</v>
      </c>
      <c r="I31" s="2" t="s">
        <v>80</v>
      </c>
      <c r="J31" s="2"/>
      <c r="K31" s="5" t="str">
        <f aca="false">HYPERLINK("https://mail.google.com/mail/u/0/#inbox/19d4c1f8e09de3bb", "פתיחה ב-Gmail")</f>
        <v>פתיחה ב-Gmail</v>
      </c>
    </row>
    <row r="32" customFormat="false" ht="15" hidden="false" customHeight="false" outlineLevel="0" collapsed="false">
      <c r="A32" s="2" t="s">
        <v>82</v>
      </c>
      <c r="B32" s="2" t="s">
        <v>77</v>
      </c>
      <c r="C32" s="2" t="s">
        <v>13</v>
      </c>
      <c r="D32" s="2" t="s">
        <v>78</v>
      </c>
      <c r="E32" s="3" t="n">
        <v>18.39</v>
      </c>
      <c r="F32" s="2" t="s">
        <v>15</v>
      </c>
      <c r="G32" s="4" t="n">
        <v>67.12</v>
      </c>
      <c r="H32" s="2" t="s">
        <v>79</v>
      </c>
      <c r="I32" s="2" t="s">
        <v>80</v>
      </c>
      <c r="J32" s="2"/>
      <c r="K32" s="5" t="str">
        <f aca="false">HYPERLINK("https://mail.google.com/mail/u/0/#inbox/19cac998bcca2173", "פתיחה ב-Gmail")</f>
        <v>פתיחה ב-Gmail</v>
      </c>
    </row>
    <row r="33" customFormat="false" ht="15" hidden="false" customHeight="false" outlineLevel="0" collapsed="false">
      <c r="A33" s="2" t="s">
        <v>83</v>
      </c>
      <c r="B33" s="2" t="s">
        <v>84</v>
      </c>
      <c r="C33" s="2" t="s">
        <v>13</v>
      </c>
      <c r="D33" s="2" t="s">
        <v>85</v>
      </c>
      <c r="E33" s="3" t="n">
        <v>5.8</v>
      </c>
      <c r="F33" s="2" t="s">
        <v>15</v>
      </c>
      <c r="G33" s="4" t="n">
        <v>21.17</v>
      </c>
      <c r="H33" s="2" t="s">
        <v>16</v>
      </c>
      <c r="I33" s="2" t="s">
        <v>80</v>
      </c>
      <c r="J33" s="2"/>
      <c r="K33" s="5" t="str">
        <f aca="false">HYPERLINK("https://mail.google.com/mail/u/0/#inbox/19de1b8c04ff3b0c", "פתיחה ב-Gmail")</f>
        <v>פתיחה ב-Gmail</v>
      </c>
    </row>
    <row r="34" customFormat="false" ht="15" hidden="false" customHeight="false" outlineLevel="0" collapsed="false">
      <c r="A34" s="2" t="s">
        <v>61</v>
      </c>
      <c r="B34" s="2" t="s">
        <v>86</v>
      </c>
      <c r="C34" s="2" t="s">
        <v>13</v>
      </c>
      <c r="D34" s="2" t="s">
        <v>87</v>
      </c>
      <c r="E34" s="3" t="n">
        <v>10.04</v>
      </c>
      <c r="F34" s="2" t="s">
        <v>15</v>
      </c>
      <c r="G34" s="4" t="n">
        <v>36.65</v>
      </c>
      <c r="H34" s="2" t="s">
        <v>88</v>
      </c>
      <c r="I34" s="2" t="s">
        <v>80</v>
      </c>
      <c r="J34" s="2" t="s">
        <v>89</v>
      </c>
      <c r="K34" s="5" t="str">
        <f aca="false">HYPERLINK("https://mail.google.com/mail/u/0/#inbox/19dca7e3515cacf5", "פתיחה ב-Gmail")</f>
        <v>פתיחה ב-Gmail</v>
      </c>
    </row>
    <row r="35" customFormat="false" ht="15" hidden="false" customHeight="false" outlineLevel="0" collapsed="false">
      <c r="A35" s="2" t="s">
        <v>90</v>
      </c>
      <c r="B35" s="2" t="s">
        <v>86</v>
      </c>
      <c r="C35" s="2" t="s">
        <v>13</v>
      </c>
      <c r="D35" s="2" t="s">
        <v>87</v>
      </c>
      <c r="E35" s="3" t="s">
        <v>26</v>
      </c>
      <c r="F35" s="2" t="s">
        <v>15</v>
      </c>
      <c r="G35" s="4"/>
      <c r="H35" s="2" t="s">
        <v>88</v>
      </c>
      <c r="I35" s="2" t="s">
        <v>80</v>
      </c>
      <c r="J35" s="2" t="s">
        <v>27</v>
      </c>
      <c r="K35" s="5" t="str">
        <f aca="false">HYPERLINK("https://mail.google.com/mail/u/0/#inbox/19dac112da083967", "פתיחה ב-Gmail")</f>
        <v>פתיחה ב-Gmail</v>
      </c>
    </row>
    <row r="36" customFormat="false" ht="15" hidden="false" customHeight="false" outlineLevel="0" collapsed="false">
      <c r="A36" s="2" t="s">
        <v>91</v>
      </c>
      <c r="B36" s="2" t="s">
        <v>86</v>
      </c>
      <c r="C36" s="2" t="s">
        <v>13</v>
      </c>
      <c r="D36" s="2" t="s">
        <v>92</v>
      </c>
      <c r="E36" s="3" t="n">
        <v>20</v>
      </c>
      <c r="F36" s="2" t="s">
        <v>15</v>
      </c>
      <c r="G36" s="4" t="n">
        <v>73</v>
      </c>
      <c r="H36" s="2" t="s">
        <v>88</v>
      </c>
      <c r="I36" s="2" t="s">
        <v>80</v>
      </c>
      <c r="J36" s="2" t="s">
        <v>93</v>
      </c>
      <c r="K36" s="5" t="str">
        <f aca="false">HYPERLINK("https://mail.google.com/mail/u/0/#inbox/19c7c5fd71ea18f7", "פתיחה ב-Gmail")</f>
        <v>פתיחה ב-Gmail</v>
      </c>
    </row>
    <row r="37" customFormat="false" ht="15" hidden="false" customHeight="false" outlineLevel="0" collapsed="false">
      <c r="A37" s="2" t="s">
        <v>94</v>
      </c>
      <c r="B37" s="2" t="s">
        <v>95</v>
      </c>
      <c r="C37" s="2" t="s">
        <v>13</v>
      </c>
      <c r="D37" s="2" t="s">
        <v>96</v>
      </c>
      <c r="E37" s="3" t="n">
        <v>324.9</v>
      </c>
      <c r="F37" s="2" t="s">
        <v>97</v>
      </c>
      <c r="G37" s="4" t="n">
        <v>324.9</v>
      </c>
      <c r="H37" s="2" t="s">
        <v>98</v>
      </c>
      <c r="I37" s="2" t="s">
        <v>80</v>
      </c>
      <c r="J37" s="2" t="s">
        <v>99</v>
      </c>
      <c r="K37" s="5" t="str">
        <f aca="false">HYPERLINK("https://mail.google.com/mail/u/0/#inbox/19d44fce19c13747", "פתיחה ב-Gmail")</f>
        <v>פתיחה ב-Gmail</v>
      </c>
    </row>
    <row r="38" customFormat="false" ht="15" hidden="false" customHeight="false" outlineLevel="0" collapsed="false">
      <c r="A38" s="2" t="s">
        <v>41</v>
      </c>
      <c r="B38" s="2" t="s">
        <v>100</v>
      </c>
      <c r="C38" s="2" t="s">
        <v>13</v>
      </c>
      <c r="D38" s="2" t="s">
        <v>101</v>
      </c>
      <c r="E38" s="3" t="n">
        <v>95.88</v>
      </c>
      <c r="F38" s="2" t="s">
        <v>15</v>
      </c>
      <c r="G38" s="4" t="n">
        <v>349.96</v>
      </c>
      <c r="H38" s="2" t="s">
        <v>16</v>
      </c>
      <c r="I38" s="2" t="s">
        <v>17</v>
      </c>
      <c r="J38" s="2" t="s">
        <v>102</v>
      </c>
      <c r="K38" s="5" t="str">
        <f aca="false">HYPERLINK("https://mail.google.com/mail/u/0/#inbox/19d53a1fdb034563", "פתיחה ב-Gmail")</f>
        <v>פתיחה ב-Gmail</v>
      </c>
    </row>
    <row r="39" customFormat="false" ht="15" hidden="false" customHeight="false" outlineLevel="0" collapsed="false">
      <c r="A39" s="2" t="s">
        <v>35</v>
      </c>
      <c r="B39" s="2" t="s">
        <v>103</v>
      </c>
      <c r="C39" s="2" t="s">
        <v>13</v>
      </c>
      <c r="D39" s="2" t="s">
        <v>104</v>
      </c>
      <c r="E39" s="3" t="n">
        <v>25</v>
      </c>
      <c r="F39" s="2" t="s">
        <v>15</v>
      </c>
      <c r="G39" s="4" t="n">
        <v>91.25</v>
      </c>
      <c r="H39" s="2" t="s">
        <v>64</v>
      </c>
      <c r="I39" s="2" t="s">
        <v>17</v>
      </c>
      <c r="J39" s="2" t="s">
        <v>105</v>
      </c>
      <c r="K39" s="5" t="str">
        <f aca="false">HYPERLINK("https://mail.google.com/mail/u/0/#inbox/19d6cef3a1356fad", "פתיחה ב-Gmail")</f>
        <v>פתיחה ב-Gmail</v>
      </c>
    </row>
    <row r="40" customFormat="false" ht="15" hidden="false" customHeight="false" outlineLevel="0" collapsed="false">
      <c r="A40" s="2" t="s">
        <v>35</v>
      </c>
      <c r="B40" s="2" t="s">
        <v>103</v>
      </c>
      <c r="C40" s="2" t="s">
        <v>13</v>
      </c>
      <c r="D40" s="2" t="s">
        <v>106</v>
      </c>
      <c r="E40" s="3" t="s">
        <v>26</v>
      </c>
      <c r="F40" s="2" t="s">
        <v>15</v>
      </c>
      <c r="G40" s="4"/>
      <c r="H40" s="2" t="s">
        <v>64</v>
      </c>
      <c r="I40" s="2" t="s">
        <v>17</v>
      </c>
      <c r="J40" s="2" t="s">
        <v>107</v>
      </c>
      <c r="K40" s="5" t="str">
        <f aca="false">HYPERLINK("https://mail.google.com/mail/u/0/#inbox/19d6caab17cac3f5", "פתיחה ב-Gmail")</f>
        <v>פתיחה ב-Gmail</v>
      </c>
    </row>
    <row r="41" customFormat="false" ht="23.85" hidden="false" customHeight="false" outlineLevel="0" collapsed="false">
      <c r="A41" s="2" t="s">
        <v>39</v>
      </c>
      <c r="B41" s="2" t="s">
        <v>108</v>
      </c>
      <c r="C41" s="2" t="s">
        <v>13</v>
      </c>
      <c r="D41" s="2" t="s">
        <v>109</v>
      </c>
      <c r="E41" s="3" t="s">
        <v>26</v>
      </c>
      <c r="F41" s="2" t="s">
        <v>15</v>
      </c>
      <c r="G41" s="4"/>
      <c r="H41" s="2" t="s">
        <v>110</v>
      </c>
      <c r="I41" s="2" t="s">
        <v>80</v>
      </c>
      <c r="J41" s="2" t="s">
        <v>111</v>
      </c>
      <c r="K41" s="5" t="str">
        <f aca="false">HYPERLINK("https://mail.google.com/mail/u/0/#inbox/19d5f680d79da331", "פתיחה ב-Gmail")</f>
        <v>פתיחה ב-Gmail</v>
      </c>
    </row>
    <row r="42" customFormat="false" ht="15" hidden="false" customHeight="false" outlineLevel="0" collapsed="false">
      <c r="A42" s="2" t="s">
        <v>72</v>
      </c>
      <c r="B42" s="2" t="s">
        <v>112</v>
      </c>
      <c r="C42" s="2" t="s">
        <v>13</v>
      </c>
      <c r="D42" s="2" t="s">
        <v>113</v>
      </c>
      <c r="E42" s="3" t="s">
        <v>26</v>
      </c>
      <c r="F42" s="2" t="s">
        <v>15</v>
      </c>
      <c r="G42" s="4"/>
      <c r="H42" s="2" t="s">
        <v>110</v>
      </c>
      <c r="I42" s="2" t="s">
        <v>80</v>
      </c>
      <c r="J42" s="2" t="s">
        <v>114</v>
      </c>
      <c r="K42" s="5" t="str">
        <f aca="false">HYPERLINK("https://mail.google.com/mail/u/0/#inbox/19da81bf1c8602c2", "פתיחה ב-Gmail")</f>
        <v>פתיחה ב-Gmail</v>
      </c>
    </row>
    <row r="43" customFormat="false" ht="15" hidden="false" customHeight="false" outlineLevel="0" collapsed="false">
      <c r="A43" s="2" t="s">
        <v>69</v>
      </c>
      <c r="B43" s="2" t="s">
        <v>115</v>
      </c>
      <c r="C43" s="2" t="s">
        <v>116</v>
      </c>
      <c r="D43" s="2" t="s">
        <v>117</v>
      </c>
      <c r="E43" s="3" t="s">
        <v>26</v>
      </c>
      <c r="F43" s="2" t="s">
        <v>97</v>
      </c>
      <c r="G43" s="4"/>
      <c r="H43" s="2" t="s">
        <v>110</v>
      </c>
      <c r="I43" s="2" t="s">
        <v>17</v>
      </c>
      <c r="J43" s="2" t="s">
        <v>27</v>
      </c>
      <c r="K43" s="5" t="str">
        <f aca="false">HYPERLINK("https://mail.google.com/mail/u/0/#inbox/19d97b7d8199a383", "פתיחה ב-Gmail")</f>
        <v>פתיחה ב-Gmail</v>
      </c>
    </row>
    <row r="44" customFormat="false" ht="15" hidden="false" customHeight="false" outlineLevel="0" collapsed="false">
      <c r="A44" s="2" t="s">
        <v>118</v>
      </c>
      <c r="B44" s="2" t="s">
        <v>115</v>
      </c>
      <c r="C44" s="2" t="s">
        <v>116</v>
      </c>
      <c r="D44" s="2" t="s">
        <v>119</v>
      </c>
      <c r="E44" s="3" t="s">
        <v>26</v>
      </c>
      <c r="F44" s="2" t="s">
        <v>97</v>
      </c>
      <c r="G44" s="4"/>
      <c r="H44" s="2" t="s">
        <v>110</v>
      </c>
      <c r="I44" s="2" t="s">
        <v>17</v>
      </c>
      <c r="J44" s="2" t="s">
        <v>27</v>
      </c>
      <c r="K44" s="5" t="str">
        <f aca="false">HYPERLINK("https://mail.google.com/mail/u/0/#inbox/19d026dadc558985", "פתיחה ב-Gmail")</f>
        <v>פתיחה ב-Gmail</v>
      </c>
    </row>
    <row r="45" customFormat="false" ht="15" hidden="false" customHeight="false" outlineLevel="0" collapsed="false">
      <c r="A45" s="2" t="s">
        <v>120</v>
      </c>
      <c r="B45" s="2" t="s">
        <v>115</v>
      </c>
      <c r="C45" s="2" t="s">
        <v>116</v>
      </c>
      <c r="D45" s="2" t="s">
        <v>121</v>
      </c>
      <c r="E45" s="3" t="s">
        <v>26</v>
      </c>
      <c r="F45" s="2" t="s">
        <v>97</v>
      </c>
      <c r="G45" s="4"/>
      <c r="H45" s="2" t="s">
        <v>110</v>
      </c>
      <c r="I45" s="2" t="s">
        <v>17</v>
      </c>
      <c r="J45" s="2" t="s">
        <v>27</v>
      </c>
      <c r="K45" s="5" t="str">
        <f aca="false">HYPERLINK("https://mail.google.com/mail/u/0/#inbox/19c6cfeed39b8a69", "פתיחה ב-Gmail")</f>
        <v>פתיחה ב-Gmail</v>
      </c>
    </row>
    <row r="46" customFormat="false" ht="15" hidden="false" customHeight="false" outlineLevel="0" collapsed="false">
      <c r="A46" s="2" t="s">
        <v>122</v>
      </c>
      <c r="B46" s="2" t="s">
        <v>115</v>
      </c>
      <c r="C46" s="2" t="s">
        <v>116</v>
      </c>
      <c r="D46" s="2" t="s">
        <v>123</v>
      </c>
      <c r="E46" s="3" t="s">
        <v>26</v>
      </c>
      <c r="F46" s="2" t="s">
        <v>97</v>
      </c>
      <c r="G46" s="4"/>
      <c r="H46" s="2" t="s">
        <v>110</v>
      </c>
      <c r="I46" s="2" t="s">
        <v>17</v>
      </c>
      <c r="J46" s="2" t="s">
        <v>124</v>
      </c>
      <c r="K46" s="5" t="str">
        <f aca="false">HYPERLINK("https://mail.google.com/mail/u/0/#inbox/19bd7c874092629b", "פתיחה ב-Gmail")</f>
        <v>פתיחה ב-Gmail</v>
      </c>
    </row>
    <row r="47" customFormat="false" ht="15" hidden="false" customHeight="false" outlineLevel="0" collapsed="false">
      <c r="A47" s="2" t="s">
        <v>76</v>
      </c>
      <c r="B47" s="2" t="s">
        <v>125</v>
      </c>
      <c r="C47" s="2" t="s">
        <v>126</v>
      </c>
      <c r="D47" s="2" t="s">
        <v>127</v>
      </c>
      <c r="E47" s="3" t="s">
        <v>26</v>
      </c>
      <c r="F47" s="2" t="s">
        <v>97</v>
      </c>
      <c r="G47" s="4"/>
      <c r="H47" s="2" t="s">
        <v>110</v>
      </c>
      <c r="I47" s="2" t="s">
        <v>17</v>
      </c>
      <c r="J47" s="2" t="s">
        <v>27</v>
      </c>
      <c r="K47" s="5" t="str">
        <f aca="false">HYPERLINK("https://mail.google.com/mail/u/0/#inbox/19deac01a8ea1f50", "פתיחה ב-Gmail")</f>
        <v>פתיחה ב-Gmail</v>
      </c>
    </row>
    <row r="48" customFormat="false" ht="15" hidden="false" customHeight="false" outlineLevel="0" collapsed="false">
      <c r="A48" s="2" t="s">
        <v>47</v>
      </c>
      <c r="B48" s="2" t="s">
        <v>125</v>
      </c>
      <c r="C48" s="2" t="s">
        <v>126</v>
      </c>
      <c r="D48" s="2" t="s">
        <v>128</v>
      </c>
      <c r="E48" s="3" t="s">
        <v>26</v>
      </c>
      <c r="F48" s="2" t="s">
        <v>97</v>
      </c>
      <c r="G48" s="4"/>
      <c r="H48" s="2" t="s">
        <v>110</v>
      </c>
      <c r="I48" s="2" t="s">
        <v>17</v>
      </c>
      <c r="J48" s="2" t="s">
        <v>27</v>
      </c>
      <c r="K48" s="5" t="str">
        <f aca="false">HYPERLINK("https://mail.google.com/mail/u/0/#inbox/19d3b55e0510a475", "פתיחה ב-Gmail")</f>
        <v>פתיחה ב-Gmail</v>
      </c>
    </row>
    <row r="49" customFormat="false" ht="15" hidden="false" customHeight="false" outlineLevel="0" collapsed="false">
      <c r="A49" s="2" t="s">
        <v>24</v>
      </c>
      <c r="B49" s="2" t="s">
        <v>129</v>
      </c>
      <c r="C49" s="2" t="s">
        <v>130</v>
      </c>
      <c r="D49" s="2" t="s">
        <v>131</v>
      </c>
      <c r="E49" s="3" t="s">
        <v>26</v>
      </c>
      <c r="F49" s="2" t="s">
        <v>97</v>
      </c>
      <c r="G49" s="4"/>
      <c r="H49" s="2" t="s">
        <v>110</v>
      </c>
      <c r="I49" s="2" t="s">
        <v>17</v>
      </c>
      <c r="J49" s="2" t="s">
        <v>27</v>
      </c>
      <c r="K49" s="5" t="str">
        <f aca="false">HYPERLINK("https://mail.google.com/mail/u/0/#inbox/19d8fa9b04044c96", "פתיחה ב-Gmail")</f>
        <v>פתיחה ב-Gmail</v>
      </c>
    </row>
    <row r="50" customFormat="false" ht="15" hidden="false" customHeight="false" outlineLevel="0" collapsed="false">
      <c r="A50" s="2" t="s">
        <v>132</v>
      </c>
      <c r="B50" s="2" t="s">
        <v>133</v>
      </c>
      <c r="C50" s="2" t="s">
        <v>134</v>
      </c>
      <c r="D50" s="2" t="s">
        <v>135</v>
      </c>
      <c r="E50" s="3" t="s">
        <v>26</v>
      </c>
      <c r="F50" s="2" t="s">
        <v>97</v>
      </c>
      <c r="G50" s="4"/>
      <c r="H50" s="2" t="s">
        <v>110</v>
      </c>
      <c r="I50" s="2" t="s">
        <v>17</v>
      </c>
      <c r="J50" s="2" t="s">
        <v>27</v>
      </c>
      <c r="K50" s="5" t="str">
        <f aca="false">HYPERLINK("https://mail.google.com/mail/u/0/#inbox/19d7dacfe90385be", "פתיחה ב-Gmail")</f>
        <v>פתיחה ב-Gmail</v>
      </c>
    </row>
    <row r="51" customFormat="false" ht="15" hidden="false" customHeight="false" outlineLevel="0" collapsed="false">
      <c r="A51" s="2" t="s">
        <v>94</v>
      </c>
      <c r="B51" s="2" t="s">
        <v>133</v>
      </c>
      <c r="C51" s="2" t="s">
        <v>134</v>
      </c>
      <c r="D51" s="2" t="s">
        <v>135</v>
      </c>
      <c r="E51" s="3" t="s">
        <v>26</v>
      </c>
      <c r="F51" s="2" t="s">
        <v>97</v>
      </c>
      <c r="G51" s="4"/>
      <c r="H51" s="2" t="s">
        <v>110</v>
      </c>
      <c r="I51" s="2" t="s">
        <v>17</v>
      </c>
      <c r="J51" s="2" t="s">
        <v>27</v>
      </c>
      <c r="K51" s="5" t="str">
        <f aca="false">HYPERLINK("https://mail.google.com/mail/u/0/#inbox/19d42e4ddea054a9", "פתיחה ב-Gmail")</f>
        <v>פתיחה ב-Gmail</v>
      </c>
    </row>
    <row r="52" customFormat="false" ht="15" hidden="false" customHeight="false" outlineLevel="0" collapsed="false">
      <c r="A52" s="2" t="s">
        <v>11</v>
      </c>
      <c r="B52" s="2" t="s">
        <v>136</v>
      </c>
      <c r="C52" s="2" t="s">
        <v>137</v>
      </c>
      <c r="D52" s="2" t="s">
        <v>138</v>
      </c>
      <c r="E52" s="3" t="s">
        <v>26</v>
      </c>
      <c r="F52" s="2" t="s">
        <v>97</v>
      </c>
      <c r="G52" s="4"/>
      <c r="H52" s="2" t="s">
        <v>110</v>
      </c>
      <c r="I52" s="2" t="s">
        <v>17</v>
      </c>
      <c r="J52" s="2" t="s">
        <v>27</v>
      </c>
      <c r="K52" s="5" t="str">
        <f aca="false">HYPERLINK("https://mail.google.com/mail/u/0/#inbox/19dec211d55df408", "פתיחה ב-Gmail")</f>
        <v>פתיחה ב-Gmail</v>
      </c>
    </row>
    <row r="53" customFormat="false" ht="15" hidden="false" customHeight="false" outlineLevel="0" collapsed="false">
      <c r="A53" s="2" t="s">
        <v>139</v>
      </c>
      <c r="B53" s="2" t="s">
        <v>136</v>
      </c>
      <c r="C53" s="2" t="s">
        <v>137</v>
      </c>
      <c r="D53" s="2" t="s">
        <v>140</v>
      </c>
      <c r="E53" s="3" t="s">
        <v>26</v>
      </c>
      <c r="F53" s="2" t="s">
        <v>97</v>
      </c>
      <c r="G53" s="4"/>
      <c r="H53" s="2" t="s">
        <v>110</v>
      </c>
      <c r="I53" s="2" t="s">
        <v>17</v>
      </c>
      <c r="J53" s="2" t="s">
        <v>27</v>
      </c>
      <c r="K53" s="5" t="str">
        <f aca="false">HYPERLINK("https://mail.google.com/mail/u/0/#inbox/19db9bbc51c5f2ad", "פתיחה ב-Gmail")</f>
        <v>פתיחה ב-Gmail</v>
      </c>
    </row>
    <row r="54" customFormat="false" ht="15" hidden="false" customHeight="false" outlineLevel="0" collapsed="false">
      <c r="A54" s="2" t="s">
        <v>83</v>
      </c>
      <c r="B54" s="2" t="s">
        <v>141</v>
      </c>
      <c r="C54" s="2" t="s">
        <v>137</v>
      </c>
      <c r="D54" s="2" t="s">
        <v>142</v>
      </c>
      <c r="E54" s="3" t="s">
        <v>26</v>
      </c>
      <c r="F54" s="2" t="s">
        <v>97</v>
      </c>
      <c r="G54" s="4"/>
      <c r="H54" s="2" t="s">
        <v>110</v>
      </c>
      <c r="I54" s="2" t="s">
        <v>17</v>
      </c>
      <c r="J54" s="2" t="s">
        <v>143</v>
      </c>
      <c r="K54" s="5" t="str">
        <f aca="false">HYPERLINK("https://mail.google.com/mail/u/0/#inbox/19de17c8849fc5f3", "פתיחה ב-Gmail")</f>
        <v>פתיחה ב-Gmail</v>
      </c>
    </row>
    <row r="55" customFormat="false" ht="15" hidden="false" customHeight="false" outlineLevel="0" collapsed="false">
      <c r="A55" s="2" t="s">
        <v>55</v>
      </c>
      <c r="B55" s="2" t="s">
        <v>141</v>
      </c>
      <c r="C55" s="2" t="s">
        <v>137</v>
      </c>
      <c r="D55" s="2" t="s">
        <v>144</v>
      </c>
      <c r="E55" s="3" t="s">
        <v>26</v>
      </c>
      <c r="F55" s="2" t="s">
        <v>97</v>
      </c>
      <c r="G55" s="4"/>
      <c r="H55" s="2" t="s">
        <v>110</v>
      </c>
      <c r="I55" s="2" t="s">
        <v>17</v>
      </c>
      <c r="J55" s="2" t="s">
        <v>27</v>
      </c>
      <c r="K55" s="5" t="str">
        <f aca="false">HYPERLINK("https://mail.google.com/mail/u/0/#inbox/19d2408e4df94510", "פתיחה ב-Gmail")</f>
        <v>פתיחה ב-Gmail</v>
      </c>
    </row>
    <row r="56" customFormat="false" ht="15" hidden="false" customHeight="false" outlineLevel="0" collapsed="false">
      <c r="A56" s="2" t="s">
        <v>145</v>
      </c>
      <c r="B56" s="2" t="s">
        <v>141</v>
      </c>
      <c r="C56" s="2" t="s">
        <v>137</v>
      </c>
      <c r="D56" s="2" t="s">
        <v>146</v>
      </c>
      <c r="E56" s="3" t="s">
        <v>26</v>
      </c>
      <c r="F56" s="2" t="s">
        <v>97</v>
      </c>
      <c r="G56" s="4"/>
      <c r="H56" s="2" t="s">
        <v>110</v>
      </c>
      <c r="I56" s="2" t="s">
        <v>17</v>
      </c>
      <c r="J56" s="2" t="s">
        <v>147</v>
      </c>
      <c r="K56" s="5" t="str">
        <f aca="false">HYPERLINK("https://mail.google.com/mail/u/0/#inbox/19d14f54d7fbd905", "פתיחה ב-Gmail")</f>
        <v>פתיחה ב-Gmail</v>
      </c>
    </row>
    <row r="57" customFormat="false" ht="15" hidden="false" customHeight="false" outlineLevel="0" collapsed="false">
      <c r="A57" s="2" t="s">
        <v>148</v>
      </c>
      <c r="B57" s="2" t="s">
        <v>149</v>
      </c>
      <c r="C57" s="2" t="s">
        <v>150</v>
      </c>
      <c r="D57" s="2" t="s">
        <v>151</v>
      </c>
      <c r="E57" s="3" t="n">
        <v>57000</v>
      </c>
      <c r="F57" s="2" t="s">
        <v>97</v>
      </c>
      <c r="G57" s="4" t="n">
        <v>57000</v>
      </c>
      <c r="H57" s="2" t="s">
        <v>152</v>
      </c>
      <c r="I57" s="2" t="s">
        <v>80</v>
      </c>
      <c r="J57" s="2" t="s">
        <v>153</v>
      </c>
      <c r="K57" s="5" t="str">
        <f aca="false">HYPERLINK("https://mail.google.com/mail/u/0/#inbox/19c2d1abed22e179", "פתיחה ב-Gmail")</f>
        <v>פתיחה ב-Gmail</v>
      </c>
    </row>
    <row r="58" customFormat="false" ht="15" hidden="false" customHeight="false" outlineLevel="0" collapsed="false">
      <c r="A58" s="2" t="s">
        <v>55</v>
      </c>
      <c r="B58" s="2" t="s">
        <v>154</v>
      </c>
      <c r="C58" s="2" t="s">
        <v>155</v>
      </c>
      <c r="D58" s="2" t="s">
        <v>156</v>
      </c>
      <c r="E58" s="3" t="s">
        <v>26</v>
      </c>
      <c r="F58" s="2" t="s">
        <v>97</v>
      </c>
      <c r="G58" s="4"/>
      <c r="H58" s="2" t="s">
        <v>110</v>
      </c>
      <c r="I58" s="2" t="s">
        <v>80</v>
      </c>
      <c r="J58" s="2" t="s">
        <v>157</v>
      </c>
      <c r="K58" s="5" t="str">
        <f aca="false">HYPERLINK("https://mail.google.com/mail/u/0/#inbox/19d25353444ebbf8", "פתיחה ב-Gmail")</f>
        <v>פתיחה ב-Gmail</v>
      </c>
    </row>
    <row r="59" customFormat="false" ht="15" hidden="false" customHeight="false" outlineLevel="0" collapsed="false">
      <c r="A59" s="2" t="s">
        <v>158</v>
      </c>
      <c r="B59" s="2" t="s">
        <v>154</v>
      </c>
      <c r="C59" s="2" t="s">
        <v>155</v>
      </c>
      <c r="D59" s="2" t="s">
        <v>159</v>
      </c>
      <c r="E59" s="3" t="s">
        <v>26</v>
      </c>
      <c r="F59" s="2" t="s">
        <v>97</v>
      </c>
      <c r="G59" s="4"/>
      <c r="H59" s="2" t="s">
        <v>110</v>
      </c>
      <c r="I59" s="2" t="s">
        <v>80</v>
      </c>
      <c r="J59" s="2"/>
      <c r="K59" s="5" t="str">
        <f aca="false">HYPERLINK("https://mail.google.com/mail/u/0/#inbox/19c18bcad216b44e", "פתיחה ב-Gmail")</f>
        <v>פתיחה ב-Gmail</v>
      </c>
    </row>
    <row r="60" customFormat="false" ht="15" hidden="false" customHeight="false" outlineLevel="0" collapsed="false">
      <c r="A60" s="2" t="s">
        <v>83</v>
      </c>
      <c r="B60" s="2" t="s">
        <v>160</v>
      </c>
      <c r="C60" s="2" t="s">
        <v>161</v>
      </c>
      <c r="D60" s="2" t="s">
        <v>162</v>
      </c>
      <c r="E60" s="3" t="n">
        <v>25.9</v>
      </c>
      <c r="F60" s="2" t="s">
        <v>97</v>
      </c>
      <c r="G60" s="4" t="n">
        <v>25.9</v>
      </c>
      <c r="H60" s="2" t="s">
        <v>98</v>
      </c>
      <c r="I60" s="2" t="s">
        <v>80</v>
      </c>
      <c r="J60" s="2" t="s">
        <v>163</v>
      </c>
      <c r="K60" s="5" t="str">
        <f aca="false">HYPERLINK("https://mail.google.com/mail/u/0/#inbox/19de9bfaefdec987", "פתיחה ב-Gmail")</f>
        <v>פתיחה ב-Gmail</v>
      </c>
    </row>
    <row r="61" customFormat="false" ht="15" hidden="false" customHeight="false" outlineLevel="0" collapsed="false">
      <c r="A61" s="2" t="s">
        <v>90</v>
      </c>
      <c r="B61" s="2" t="s">
        <v>164</v>
      </c>
      <c r="C61" s="2" t="s">
        <v>161</v>
      </c>
      <c r="D61" s="2" t="s">
        <v>165</v>
      </c>
      <c r="E61" s="3" t="n">
        <v>31.9</v>
      </c>
      <c r="F61" s="2" t="s">
        <v>97</v>
      </c>
      <c r="G61" s="4" t="n">
        <v>31.9</v>
      </c>
      <c r="H61" s="2" t="s">
        <v>98</v>
      </c>
      <c r="I61" s="2" t="s">
        <v>80</v>
      </c>
      <c r="J61" s="2" t="s">
        <v>166</v>
      </c>
      <c r="K61" s="5" t="str">
        <f aca="false">HYPERLINK("https://mail.google.com/mail/u/0/#inbox/19dad74622b7cbdf", "פתיחה ב-Gmail")</f>
        <v>פתיחה ב-Gmail</v>
      </c>
    </row>
    <row r="62" customFormat="false" ht="15" hidden="false" customHeight="false" outlineLevel="0" collapsed="false">
      <c r="A62" s="2" t="s">
        <v>167</v>
      </c>
      <c r="B62" s="2" t="s">
        <v>168</v>
      </c>
      <c r="C62" s="2" t="s">
        <v>161</v>
      </c>
      <c r="D62" s="2" t="s">
        <v>169</v>
      </c>
      <c r="E62" s="3" t="n">
        <v>17.9</v>
      </c>
      <c r="F62" s="2" t="s">
        <v>97</v>
      </c>
      <c r="G62" s="4" t="n">
        <v>17.9</v>
      </c>
      <c r="H62" s="2" t="s">
        <v>16</v>
      </c>
      <c r="I62" s="2" t="s">
        <v>80</v>
      </c>
      <c r="J62" s="2" t="s">
        <v>170</v>
      </c>
      <c r="K62" s="5" t="str">
        <f aca="false">HYPERLINK("https://mail.google.com/mail/u/0/#inbox/19db529281984991", "פתיחה ב-Gmail")</f>
        <v>פתיחה ב-Gmail</v>
      </c>
    </row>
    <row r="63" customFormat="false" ht="15" hidden="false" customHeight="false" outlineLevel="0" collapsed="false">
      <c r="A63" s="2" t="s">
        <v>29</v>
      </c>
      <c r="B63" s="2" t="s">
        <v>171</v>
      </c>
      <c r="C63" s="2" t="s">
        <v>161</v>
      </c>
      <c r="D63" s="2" t="s">
        <v>172</v>
      </c>
      <c r="E63" s="3" t="s">
        <v>26</v>
      </c>
      <c r="F63" s="2" t="s">
        <v>15</v>
      </c>
      <c r="G63" s="4"/>
      <c r="H63" s="2" t="s">
        <v>110</v>
      </c>
      <c r="I63" s="2" t="s">
        <v>80</v>
      </c>
      <c r="J63" s="2" t="s">
        <v>173</v>
      </c>
      <c r="K63" s="5" t="str">
        <f aca="false">HYPERLINK("https://mail.google.com/mail/u/0/#inbox/19d85ffda07aac56", "פתיחה ב-Gmail")</f>
        <v>פתיחה ב-Gmail</v>
      </c>
    </row>
    <row r="64" customFormat="false" ht="15" hidden="false" customHeight="false" outlineLevel="0" collapsed="false">
      <c r="A64" s="2" t="s">
        <v>31</v>
      </c>
      <c r="B64" s="2" t="s">
        <v>174</v>
      </c>
      <c r="C64" s="2" t="s">
        <v>161</v>
      </c>
      <c r="D64" s="2" t="s">
        <v>175</v>
      </c>
      <c r="E64" s="3" t="n">
        <v>9.99</v>
      </c>
      <c r="F64" s="2" t="s">
        <v>15</v>
      </c>
      <c r="G64" s="4" t="n">
        <v>36.46</v>
      </c>
      <c r="H64" s="2" t="s">
        <v>16</v>
      </c>
      <c r="I64" s="2" t="s">
        <v>17</v>
      </c>
      <c r="J64" s="2" t="s">
        <v>176</v>
      </c>
      <c r="K64" s="5" t="str">
        <f aca="false">HYPERLINK("https://mail.google.com/mail/u/0/#inbox/19d8270eb314b259", "פתיחה ב-Gmail")</f>
        <v>פתיחה ב-Gmail</v>
      </c>
    </row>
    <row r="65" customFormat="false" ht="15" hidden="false" customHeight="false" outlineLevel="0" collapsed="false">
      <c r="A65" s="2" t="s">
        <v>24</v>
      </c>
      <c r="B65" s="2" t="s">
        <v>177</v>
      </c>
      <c r="C65" s="2" t="s">
        <v>178</v>
      </c>
      <c r="D65" s="2" t="s">
        <v>179</v>
      </c>
      <c r="E65" s="3" t="s">
        <v>26</v>
      </c>
      <c r="F65" s="2" t="s">
        <v>97</v>
      </c>
      <c r="G65" s="4"/>
      <c r="H65" s="2" t="s">
        <v>180</v>
      </c>
      <c r="I65" s="2" t="s">
        <v>80</v>
      </c>
      <c r="J65" s="2" t="s">
        <v>181</v>
      </c>
      <c r="K65" s="5" t="str">
        <f aca="false">HYPERLINK("https://mail.google.com/mail/u/0/#inbox/19d8e77d35e0930c", "פתיחה ב-Gmail")</f>
        <v>פתיחה ב-Gmail</v>
      </c>
    </row>
    <row r="66" customFormat="false" ht="15" hidden="false" customHeight="false" outlineLevel="0" collapsed="false">
      <c r="A66" s="2" t="s">
        <v>182</v>
      </c>
      <c r="B66" s="2" t="s">
        <v>177</v>
      </c>
      <c r="C66" s="2" t="s">
        <v>178</v>
      </c>
      <c r="D66" s="2" t="s">
        <v>183</v>
      </c>
      <c r="E66" s="3" t="s">
        <v>26</v>
      </c>
      <c r="F66" s="2" t="s">
        <v>97</v>
      </c>
      <c r="G66" s="4"/>
      <c r="H66" s="2" t="s">
        <v>180</v>
      </c>
      <c r="I66" s="2" t="s">
        <v>80</v>
      </c>
      <c r="J66" s="2"/>
      <c r="K66" s="5" t="str">
        <f aca="false">HYPERLINK("https://mail.google.com/mail/u/0/#inbox/19ce58023059360d", "פתיחה ב-Gmail")</f>
        <v>פתיחה ב-Gmail</v>
      </c>
    </row>
    <row r="67" customFormat="false" ht="15" hidden="false" customHeight="false" outlineLevel="0" collapsed="false">
      <c r="A67" s="2" t="s">
        <v>184</v>
      </c>
      <c r="B67" s="2" t="s">
        <v>177</v>
      </c>
      <c r="C67" s="2" t="s">
        <v>178</v>
      </c>
      <c r="D67" s="2" t="s">
        <v>185</v>
      </c>
      <c r="E67" s="3" t="s">
        <v>26</v>
      </c>
      <c r="F67" s="2" t="s">
        <v>97</v>
      </c>
      <c r="G67" s="4"/>
      <c r="H67" s="2" t="s">
        <v>180</v>
      </c>
      <c r="I67" s="2" t="s">
        <v>80</v>
      </c>
      <c r="J67" s="2"/>
      <c r="K67" s="5" t="str">
        <f aca="false">HYPERLINK("https://mail.google.com/mail/u/0/#inbox/19c548f575887c70", "פתיחה ב-Gmail")</f>
        <v>פתיחה ב-Gmail</v>
      </c>
    </row>
    <row r="68" customFormat="false" ht="15" hidden="false" customHeight="false" outlineLevel="0" collapsed="false">
      <c r="A68" s="2" t="s">
        <v>186</v>
      </c>
      <c r="B68" s="2" t="s">
        <v>177</v>
      </c>
      <c r="C68" s="2" t="s">
        <v>178</v>
      </c>
      <c r="D68" s="2" t="s">
        <v>187</v>
      </c>
      <c r="E68" s="3" t="s">
        <v>26</v>
      </c>
      <c r="F68" s="2" t="s">
        <v>97</v>
      </c>
      <c r="G68" s="4"/>
      <c r="H68" s="2" t="s">
        <v>180</v>
      </c>
      <c r="I68" s="2" t="s">
        <v>80</v>
      </c>
      <c r="J68" s="2"/>
      <c r="K68" s="5" t="str">
        <f aca="false">HYPERLINK("https://mail.google.com/mail/u/0/#inbox/19bb85388fbb5a94", "פתיחה ב-Gmail")</f>
        <v>פתיחה ב-Gmail</v>
      </c>
    </row>
    <row r="70" customFormat="false" ht="15" hidden="false" customHeight="false" outlineLevel="0" collapsed="false">
      <c r="A70" s="6" t="s">
        <v>188</v>
      </c>
      <c r="G70" s="7" t="n">
        <f aca="false">SUM(G2:G69)</f>
        <v>63285.83</v>
      </c>
    </row>
    <row r="72" customFormat="false" ht="11.9" hidden="false" customHeight="false" outlineLevel="0" collapsed="false">
      <c r="A72" s="8" t="s">
        <v>189</v>
      </c>
      <c r="B72" s="8"/>
      <c r="C72" s="8"/>
      <c r="D72" s="8"/>
      <c r="E72" s="8"/>
      <c r="F72" s="8"/>
      <c r="G72" s="8"/>
      <c r="H72" s="8"/>
      <c r="I72" s="8"/>
      <c r="J72" s="8"/>
      <c r="K72" s="8"/>
    </row>
  </sheetData>
  <mergeCells count="1">
    <mergeCell ref="A72:K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6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1" t="s">
        <v>2</v>
      </c>
      <c r="B1" s="1" t="s">
        <v>190</v>
      </c>
      <c r="C1" s="1" t="s">
        <v>191</v>
      </c>
    </row>
    <row r="2" customFormat="false" ht="15" hidden="false" customHeight="false" outlineLevel="0" collapsed="false">
      <c r="A2" s="9" t="s">
        <v>150</v>
      </c>
      <c r="B2" s="9" t="n">
        <v>1</v>
      </c>
      <c r="C2" s="10" t="n">
        <v>57000</v>
      </c>
    </row>
    <row r="3" customFormat="false" ht="15" hidden="false" customHeight="false" outlineLevel="0" collapsed="false">
      <c r="A3" s="9" t="s">
        <v>13</v>
      </c>
      <c r="B3" s="9" t="n">
        <v>41</v>
      </c>
      <c r="C3" s="10" t="n">
        <v>6173.66</v>
      </c>
    </row>
    <row r="4" customFormat="false" ht="15" hidden="false" customHeight="false" outlineLevel="0" collapsed="false">
      <c r="A4" s="9" t="s">
        <v>161</v>
      </c>
      <c r="B4" s="9" t="n">
        <v>5</v>
      </c>
      <c r="C4" s="10" t="n">
        <v>112.16</v>
      </c>
    </row>
    <row r="5" customFormat="false" ht="15" hidden="false" customHeight="false" outlineLevel="0" collapsed="false">
      <c r="A5" s="9" t="s">
        <v>116</v>
      </c>
      <c r="B5" s="9" t="n">
        <v>4</v>
      </c>
      <c r="C5" s="10" t="n">
        <v>0</v>
      </c>
    </row>
    <row r="6" customFormat="false" ht="15" hidden="false" customHeight="false" outlineLevel="0" collapsed="false">
      <c r="A6" s="9" t="s">
        <v>126</v>
      </c>
      <c r="B6" s="9" t="n">
        <v>2</v>
      </c>
      <c r="C6" s="10" t="n">
        <v>0</v>
      </c>
    </row>
    <row r="7" customFormat="false" ht="15" hidden="false" customHeight="false" outlineLevel="0" collapsed="false">
      <c r="A7" s="9" t="s">
        <v>130</v>
      </c>
      <c r="B7" s="9" t="n">
        <v>1</v>
      </c>
      <c r="C7" s="10" t="n">
        <v>0</v>
      </c>
    </row>
    <row r="8" customFormat="false" ht="15" hidden="false" customHeight="false" outlineLevel="0" collapsed="false">
      <c r="A8" s="9" t="s">
        <v>134</v>
      </c>
      <c r="B8" s="9" t="n">
        <v>2</v>
      </c>
      <c r="C8" s="10" t="n">
        <v>0</v>
      </c>
    </row>
    <row r="9" customFormat="false" ht="15" hidden="false" customHeight="false" outlineLevel="0" collapsed="false">
      <c r="A9" s="9" t="s">
        <v>137</v>
      </c>
      <c r="B9" s="9" t="n">
        <v>5</v>
      </c>
      <c r="C9" s="10" t="n">
        <v>0</v>
      </c>
    </row>
    <row r="10" customFormat="false" ht="15" hidden="false" customHeight="false" outlineLevel="0" collapsed="false">
      <c r="A10" s="9" t="s">
        <v>155</v>
      </c>
      <c r="B10" s="9" t="n">
        <v>2</v>
      </c>
      <c r="C10" s="10" t="n">
        <v>0</v>
      </c>
    </row>
    <row r="11" customFormat="false" ht="15" hidden="false" customHeight="false" outlineLevel="0" collapsed="false">
      <c r="A11" s="9" t="s">
        <v>178</v>
      </c>
      <c r="B11" s="9" t="n">
        <v>4</v>
      </c>
      <c r="C11" s="10" t="n">
        <v>0</v>
      </c>
    </row>
    <row r="13" customFormat="false" ht="15" hidden="false" customHeight="false" outlineLevel="0" collapsed="false">
      <c r="A13" s="6" t="s">
        <v>192</v>
      </c>
      <c r="B13" s="6" t="n">
        <f aca="false">SUM(B2:B12)</f>
        <v>67</v>
      </c>
      <c r="C13" s="7" t="n">
        <f aca="false">SUM(C2:C12)</f>
        <v>63285.82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190</v>
      </c>
      <c r="D1" s="1" t="s">
        <v>191</v>
      </c>
    </row>
    <row r="2" customFormat="false" ht="15" hidden="false" customHeight="false" outlineLevel="0" collapsed="false">
      <c r="A2" s="9" t="s">
        <v>149</v>
      </c>
      <c r="B2" s="9" t="s">
        <v>150</v>
      </c>
      <c r="C2" s="9" t="n">
        <v>1</v>
      </c>
      <c r="D2" s="10" t="n">
        <v>57000</v>
      </c>
    </row>
    <row r="3" customFormat="false" ht="15" hidden="false" customHeight="false" outlineLevel="0" collapsed="false">
      <c r="A3" s="9" t="s">
        <v>12</v>
      </c>
      <c r="B3" s="9" t="s">
        <v>13</v>
      </c>
      <c r="C3" s="9" t="n">
        <v>22</v>
      </c>
      <c r="D3" s="10" t="n">
        <v>4355.8</v>
      </c>
    </row>
    <row r="4" customFormat="false" ht="15" hidden="false" customHeight="false" outlineLevel="0" collapsed="false">
      <c r="A4" s="9" t="s">
        <v>77</v>
      </c>
      <c r="B4" s="9" t="s">
        <v>13</v>
      </c>
      <c r="C4" s="9" t="n">
        <v>3</v>
      </c>
      <c r="D4" s="10" t="n">
        <v>614.33</v>
      </c>
    </row>
    <row r="5" customFormat="false" ht="15" hidden="false" customHeight="false" outlineLevel="0" collapsed="false">
      <c r="A5" s="9" t="s">
        <v>100</v>
      </c>
      <c r="B5" s="9" t="s">
        <v>13</v>
      </c>
      <c r="C5" s="9" t="n">
        <v>1</v>
      </c>
      <c r="D5" s="10" t="n">
        <v>349.96</v>
      </c>
    </row>
    <row r="6" customFormat="false" ht="15" hidden="false" customHeight="false" outlineLevel="0" collapsed="false">
      <c r="A6" s="9" t="s">
        <v>95</v>
      </c>
      <c r="B6" s="9" t="s">
        <v>13</v>
      </c>
      <c r="C6" s="9" t="n">
        <v>1</v>
      </c>
      <c r="D6" s="10" t="n">
        <v>324.9</v>
      </c>
    </row>
    <row r="7" customFormat="false" ht="15" hidden="false" customHeight="false" outlineLevel="0" collapsed="false">
      <c r="A7" s="9" t="s">
        <v>62</v>
      </c>
      <c r="B7" s="9" t="s">
        <v>13</v>
      </c>
      <c r="C7" s="9" t="n">
        <v>5</v>
      </c>
      <c r="D7" s="10" t="n">
        <v>255.5</v>
      </c>
    </row>
    <row r="8" customFormat="false" ht="15" hidden="false" customHeight="false" outlineLevel="0" collapsed="false">
      <c r="A8" s="9" t="s">
        <v>86</v>
      </c>
      <c r="B8" s="9" t="s">
        <v>13</v>
      </c>
      <c r="C8" s="9" t="n">
        <v>3</v>
      </c>
      <c r="D8" s="10" t="n">
        <v>109.65</v>
      </c>
    </row>
    <row r="9" customFormat="false" ht="15" hidden="false" customHeight="false" outlineLevel="0" collapsed="false">
      <c r="A9" s="9" t="s">
        <v>103</v>
      </c>
      <c r="B9" s="9" t="s">
        <v>13</v>
      </c>
      <c r="C9" s="9" t="n">
        <v>2</v>
      </c>
      <c r="D9" s="10" t="n">
        <v>91.25</v>
      </c>
    </row>
    <row r="10" customFormat="false" ht="15" hidden="false" customHeight="false" outlineLevel="0" collapsed="false">
      <c r="A10" s="9" t="s">
        <v>73</v>
      </c>
      <c r="B10" s="9" t="s">
        <v>13</v>
      </c>
      <c r="C10" s="9" t="n">
        <v>1</v>
      </c>
      <c r="D10" s="10" t="n">
        <v>51.1</v>
      </c>
    </row>
    <row r="11" customFormat="false" ht="15" hidden="false" customHeight="false" outlineLevel="0" collapsed="false">
      <c r="A11" s="9" t="s">
        <v>174</v>
      </c>
      <c r="B11" s="9" t="s">
        <v>161</v>
      </c>
      <c r="C11" s="9" t="n">
        <v>1</v>
      </c>
      <c r="D11" s="10" t="n">
        <v>36.46</v>
      </c>
    </row>
    <row r="12" customFormat="false" ht="15" hidden="false" customHeight="false" outlineLevel="0" collapsed="false">
      <c r="A12" s="9" t="s">
        <v>164</v>
      </c>
      <c r="B12" s="9" t="s">
        <v>161</v>
      </c>
      <c r="C12" s="9" t="n">
        <v>1</v>
      </c>
      <c r="D12" s="10" t="n">
        <v>31.9</v>
      </c>
    </row>
    <row r="13" customFormat="false" ht="15" hidden="false" customHeight="false" outlineLevel="0" collapsed="false">
      <c r="A13" s="9" t="s">
        <v>160</v>
      </c>
      <c r="B13" s="9" t="s">
        <v>161</v>
      </c>
      <c r="C13" s="9" t="n">
        <v>1</v>
      </c>
      <c r="D13" s="10" t="n">
        <v>25.9</v>
      </c>
    </row>
    <row r="14" customFormat="false" ht="15" hidden="false" customHeight="false" outlineLevel="0" collapsed="false">
      <c r="A14" s="9" t="s">
        <v>84</v>
      </c>
      <c r="B14" s="9" t="s">
        <v>13</v>
      </c>
      <c r="C14" s="9" t="n">
        <v>1</v>
      </c>
      <c r="D14" s="10" t="n">
        <v>21.17</v>
      </c>
    </row>
    <row r="15" customFormat="false" ht="15" hidden="false" customHeight="false" outlineLevel="0" collapsed="false">
      <c r="A15" s="9" t="s">
        <v>168</v>
      </c>
      <c r="B15" s="9" t="s">
        <v>161</v>
      </c>
      <c r="C15" s="9" t="n">
        <v>1</v>
      </c>
      <c r="D15" s="10" t="n">
        <v>17.9</v>
      </c>
    </row>
    <row r="16" customFormat="false" ht="15" hidden="false" customHeight="false" outlineLevel="0" collapsed="false">
      <c r="A16" s="9" t="s">
        <v>108</v>
      </c>
      <c r="B16" s="9" t="s">
        <v>13</v>
      </c>
      <c r="C16" s="9" t="n">
        <v>1</v>
      </c>
      <c r="D16" s="10" t="n">
        <v>0</v>
      </c>
    </row>
    <row r="17" customFormat="false" ht="15" hidden="false" customHeight="false" outlineLevel="0" collapsed="false">
      <c r="A17" s="9" t="s">
        <v>112</v>
      </c>
      <c r="B17" s="9" t="s">
        <v>13</v>
      </c>
      <c r="C17" s="9" t="n">
        <v>1</v>
      </c>
      <c r="D17" s="10" t="n">
        <v>0</v>
      </c>
    </row>
    <row r="18" customFormat="false" ht="15" hidden="false" customHeight="false" outlineLevel="0" collapsed="false">
      <c r="A18" s="9" t="s">
        <v>115</v>
      </c>
      <c r="B18" s="9" t="s">
        <v>116</v>
      </c>
      <c r="C18" s="9" t="n">
        <v>4</v>
      </c>
      <c r="D18" s="10" t="n">
        <v>0</v>
      </c>
    </row>
    <row r="19" customFormat="false" ht="15" hidden="false" customHeight="false" outlineLevel="0" collapsed="false">
      <c r="A19" s="9" t="s">
        <v>125</v>
      </c>
      <c r="B19" s="9" t="s">
        <v>126</v>
      </c>
      <c r="C19" s="9" t="n">
        <v>2</v>
      </c>
      <c r="D19" s="10" t="n">
        <v>0</v>
      </c>
    </row>
    <row r="20" customFormat="false" ht="15" hidden="false" customHeight="false" outlineLevel="0" collapsed="false">
      <c r="A20" s="9" t="s">
        <v>129</v>
      </c>
      <c r="B20" s="9" t="s">
        <v>130</v>
      </c>
      <c r="C20" s="9" t="n">
        <v>1</v>
      </c>
      <c r="D20" s="10" t="n">
        <v>0</v>
      </c>
    </row>
    <row r="21" customFormat="false" ht="15" hidden="false" customHeight="false" outlineLevel="0" collapsed="false">
      <c r="A21" s="9" t="s">
        <v>133</v>
      </c>
      <c r="B21" s="9" t="s">
        <v>134</v>
      </c>
      <c r="C21" s="9" t="n">
        <v>2</v>
      </c>
      <c r="D21" s="10" t="n">
        <v>0</v>
      </c>
    </row>
    <row r="22" customFormat="false" ht="15" hidden="false" customHeight="false" outlineLevel="0" collapsed="false">
      <c r="A22" s="9" t="s">
        <v>136</v>
      </c>
      <c r="B22" s="9" t="s">
        <v>137</v>
      </c>
      <c r="C22" s="9" t="n">
        <v>2</v>
      </c>
      <c r="D22" s="10" t="n">
        <v>0</v>
      </c>
    </row>
    <row r="23" customFormat="false" ht="15" hidden="false" customHeight="false" outlineLevel="0" collapsed="false">
      <c r="A23" s="9" t="s">
        <v>141</v>
      </c>
      <c r="B23" s="9" t="s">
        <v>137</v>
      </c>
      <c r="C23" s="9" t="n">
        <v>3</v>
      </c>
      <c r="D23" s="10" t="n">
        <v>0</v>
      </c>
    </row>
    <row r="24" customFormat="false" ht="15" hidden="false" customHeight="false" outlineLevel="0" collapsed="false">
      <c r="A24" s="9" t="s">
        <v>154</v>
      </c>
      <c r="B24" s="9" t="s">
        <v>155</v>
      </c>
      <c r="C24" s="9" t="n">
        <v>2</v>
      </c>
      <c r="D24" s="10" t="n">
        <v>0</v>
      </c>
    </row>
    <row r="25" customFormat="false" ht="15" hidden="false" customHeight="false" outlineLevel="0" collapsed="false">
      <c r="A25" s="9" t="s">
        <v>171</v>
      </c>
      <c r="B25" s="9" t="s">
        <v>161</v>
      </c>
      <c r="C25" s="9" t="n">
        <v>1</v>
      </c>
      <c r="D25" s="10" t="n">
        <v>0</v>
      </c>
    </row>
    <row r="26" customFormat="false" ht="15" hidden="false" customHeight="false" outlineLevel="0" collapsed="false">
      <c r="A26" s="9" t="s">
        <v>177</v>
      </c>
      <c r="B26" s="9" t="s">
        <v>178</v>
      </c>
      <c r="C26" s="9" t="n">
        <v>4</v>
      </c>
      <c r="D26" s="10" t="n">
        <v>0</v>
      </c>
    </row>
    <row r="28" customFormat="false" ht="15" hidden="false" customHeight="false" outlineLevel="0" collapsed="false">
      <c r="A28" s="6" t="s">
        <v>192</v>
      </c>
      <c r="D28" s="7" t="n">
        <f aca="false">SUM(D2:D27)</f>
        <v>63285.82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10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  <c r="B1" s="1" t="s">
        <v>193</v>
      </c>
      <c r="C1" s="1" t="s">
        <v>3</v>
      </c>
      <c r="D1" s="1" t="s">
        <v>8</v>
      </c>
      <c r="E1" s="1" t="s">
        <v>10</v>
      </c>
    </row>
    <row r="2" customFormat="false" ht="15" hidden="false" customHeight="false" outlineLevel="0" collapsed="false">
      <c r="A2" s="9" t="s">
        <v>194</v>
      </c>
      <c r="B2" s="9" t="s">
        <v>195</v>
      </c>
      <c r="C2" s="9" t="s">
        <v>196</v>
      </c>
      <c r="D2" s="9" t="s">
        <v>17</v>
      </c>
      <c r="E2" s="11" t="str">
        <f aca="false">HYPERLINK("https://mail.google.com/mail/u/0/#inbox/19df637a37ece0b3", "פתיחה ב-Gmail")</f>
        <v>פתיחה ב-Gmail</v>
      </c>
    </row>
    <row r="3" customFormat="false" ht="15" hidden="false" customHeight="false" outlineLevel="0" collapsed="false">
      <c r="A3" s="9" t="s">
        <v>21</v>
      </c>
      <c r="B3" s="9" t="s">
        <v>195</v>
      </c>
      <c r="C3" s="9" t="s">
        <v>197</v>
      </c>
      <c r="D3" s="9" t="s">
        <v>17</v>
      </c>
      <c r="E3" s="11" t="str">
        <f aca="false">HYPERLINK("https://mail.google.com/mail/u/0/#inbox/19ddda892f980fe0", "פתיחה ב-Gmail")</f>
        <v>פתיחה ב-Gmail</v>
      </c>
    </row>
    <row r="4" customFormat="false" ht="15" hidden="false" customHeight="false" outlineLevel="0" collapsed="false">
      <c r="A4" s="9" t="s">
        <v>139</v>
      </c>
      <c r="B4" s="9" t="s">
        <v>195</v>
      </c>
      <c r="C4" s="9" t="s">
        <v>198</v>
      </c>
      <c r="D4" s="9" t="s">
        <v>17</v>
      </c>
      <c r="E4" s="11" t="str">
        <f aca="false">HYPERLINK("https://mail.google.com/mail/u/0/#inbox/19db922c0b23b693", "פתיחה ב-Gmail")</f>
        <v>פתיחה ב-Gmail</v>
      </c>
    </row>
    <row r="5" customFormat="false" ht="15" hidden="false" customHeight="false" outlineLevel="0" collapsed="false">
      <c r="A5" s="9" t="s">
        <v>139</v>
      </c>
      <c r="B5" s="9" t="s">
        <v>195</v>
      </c>
      <c r="C5" s="9" t="s">
        <v>199</v>
      </c>
      <c r="D5" s="9" t="s">
        <v>17</v>
      </c>
      <c r="E5" s="11" t="str">
        <f aca="false">HYPERLINK("https://mail.google.com/mail/u/0/#inbox/19db921444ee37a2", "פתיחה ב-Gmail")</f>
        <v>פתיחה ב-Gmail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2" t="s">
        <v>200</v>
      </c>
    </row>
    <row r="2" customFormat="false" ht="15" hidden="false" customHeight="false" outlineLevel="0" collapsed="false">
      <c r="A2" s="13"/>
    </row>
    <row r="3" customFormat="false" ht="15" hidden="false" customHeight="false" outlineLevel="0" collapsed="false">
      <c r="A3" s="12" t="s">
        <v>201</v>
      </c>
    </row>
    <row r="4" customFormat="false" ht="15" hidden="false" customHeight="false" outlineLevel="0" collapsed="false">
      <c r="A4" s="13" t="s">
        <v>202</v>
      </c>
    </row>
    <row r="5" customFormat="false" ht="15" hidden="false" customHeight="false" outlineLevel="0" collapsed="false">
      <c r="A5" s="13" t="s">
        <v>203</v>
      </c>
    </row>
    <row r="6" customFormat="false" ht="15" hidden="false" customHeight="false" outlineLevel="0" collapsed="false">
      <c r="A6" s="13" t="s">
        <v>204</v>
      </c>
    </row>
    <row r="7" customFormat="false" ht="15" hidden="false" customHeight="false" outlineLevel="0" collapsed="false">
      <c r="A7" s="13" t="s">
        <v>205</v>
      </c>
    </row>
    <row r="8" customFormat="false" ht="15" hidden="false" customHeight="false" outlineLevel="0" collapsed="false">
      <c r="A8" s="13"/>
    </row>
    <row r="9" customFormat="false" ht="15" hidden="false" customHeight="false" outlineLevel="0" collapsed="false">
      <c r="A9" s="12" t="s">
        <v>206</v>
      </c>
    </row>
    <row r="10" customFormat="false" ht="15" hidden="false" customHeight="false" outlineLevel="0" collapsed="false">
      <c r="A10" s="13" t="s">
        <v>207</v>
      </c>
    </row>
    <row r="11" customFormat="false" ht="15" hidden="false" customHeight="false" outlineLevel="0" collapsed="false">
      <c r="A11" s="13" t="s">
        <v>208</v>
      </c>
    </row>
    <row r="12" customFormat="false" ht="15" hidden="false" customHeight="false" outlineLevel="0" collapsed="false">
      <c r="A12" s="13" t="s">
        <v>209</v>
      </c>
    </row>
    <row r="13" customFormat="false" ht="15" hidden="false" customHeight="false" outlineLevel="0" collapsed="false">
      <c r="A13" s="13"/>
    </row>
    <row r="14" customFormat="false" ht="15" hidden="false" customHeight="false" outlineLevel="0" collapsed="false">
      <c r="A14" s="12" t="s">
        <v>210</v>
      </c>
    </row>
    <row r="15" customFormat="false" ht="15" hidden="false" customHeight="false" outlineLevel="0" collapsed="false">
      <c r="A15" s="13" t="s">
        <v>211</v>
      </c>
    </row>
    <row r="16" customFormat="false" ht="15" hidden="false" customHeight="false" outlineLevel="0" collapsed="false">
      <c r="A16" s="13" t="s">
        <v>212</v>
      </c>
    </row>
    <row r="17" customFormat="false" ht="15" hidden="false" customHeight="false" outlineLevel="0" collapsed="false">
      <c r="A17" s="13" t="s">
        <v>213</v>
      </c>
    </row>
    <row r="18" customFormat="false" ht="15" hidden="false" customHeight="false" outlineLevel="0" collapsed="false">
      <c r="A18" s="13" t="s">
        <v>214</v>
      </c>
    </row>
    <row r="19" customFormat="false" ht="15" hidden="false" customHeight="false" outlineLevel="0" collapsed="false">
      <c r="A19" s="13" t="s">
        <v>215</v>
      </c>
    </row>
    <row r="20" customFormat="false" ht="15" hidden="false" customHeight="false" outlineLevel="0" collapsed="false">
      <c r="A20" s="13" t="s">
        <v>216</v>
      </c>
    </row>
    <row r="21" customFormat="false" ht="15" hidden="false" customHeight="false" outlineLevel="0" collapsed="false">
      <c r="A21" s="13"/>
    </row>
    <row r="22" customFormat="false" ht="15" hidden="false" customHeight="false" outlineLevel="0" collapsed="false">
      <c r="A22" s="13" t="s">
        <v>217</v>
      </c>
    </row>
    <row r="23" customFormat="false" ht="15" hidden="false" customHeight="false" outlineLevel="0" collapsed="false">
      <c r="A23" s="13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2026-05-05T18:05:37Z</dcterms:created>
  <dc:creator>openpyxl</dc:creator>
  <dc:description/>
  <dc:language>en-US</dc:language>
  <cp:lastModifiedBy/>
  <dcterms:modified xsi:type="dcterms:W3CDTF">2026-05-05T18:05:37Z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